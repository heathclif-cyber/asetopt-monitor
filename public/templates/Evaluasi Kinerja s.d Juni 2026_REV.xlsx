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set Cash" sheetId="1" r:id="rId4"/>
    <sheet state="visible" name="Opset Pendapatan" sheetId="2" r:id="rId5"/>
    <sheet state="visible" name="Piutang" sheetId="3" r:id="rId6"/>
  </sheets>
  <definedNames/>
  <calcPr/>
  <extLst>
    <ext uri="GoogleSheetsCustomDataVersion2">
      <go:sheetsCustomData xmlns:go="http://customooxmlschemas.google.com/" r:id="rId7" roundtripDataChecksum="rjG9tQCBt40/4HuzfqSc7w6Nss0unyoPAG64ugWSIbI="/>
    </ext>
  </extLst>
</workbook>
</file>

<file path=xl/sharedStrings.xml><?xml version="1.0" encoding="utf-8"?>
<sst xmlns="http://schemas.openxmlformats.org/spreadsheetml/2006/main" count="107" uniqueCount="52">
  <si>
    <t>Dalam Rp Juta, kecuali dinyatakan lain</t>
  </si>
  <si>
    <t>No.</t>
  </si>
  <si>
    <t>Nama Mitra</t>
  </si>
  <si>
    <t>Bidang Usaha</t>
  </si>
  <si>
    <t>Real s.d TW I 2026</t>
  </si>
  <si>
    <t>s.d Semester I 2026</t>
  </si>
  <si>
    <t>Penjelasan Selisih</t>
  </si>
  <si>
    <t>Prognosa</t>
  </si>
  <si>
    <t>RKO Semester II 2026</t>
  </si>
  <si>
    <t>Angka Opset</t>
  </si>
  <si>
    <t>Angka SAP</t>
  </si>
  <si>
    <t>RKO 2026</t>
  </si>
  <si>
    <t>Selisih</t>
  </si>
  <si>
    <t>RKAP 2026</t>
  </si>
  <si>
    <t>a</t>
  </si>
  <si>
    <t>b</t>
  </si>
  <si>
    <t>Realisasi</t>
  </si>
  <si>
    <t>c</t>
  </si>
  <si>
    <t>d</t>
  </si>
  <si>
    <t>RKAP</t>
  </si>
  <si>
    <t>e = c-d</t>
  </si>
  <si>
    <t>%</t>
  </si>
  <si>
    <t>f</t>
  </si>
  <si>
    <t>Juli</t>
  </si>
  <si>
    <t>Agustus</t>
  </si>
  <si>
    <t>September</t>
  </si>
  <si>
    <t>Oktober</t>
  </si>
  <si>
    <t>November</t>
  </si>
  <si>
    <t>Desember</t>
  </si>
  <si>
    <t>% Thdp RKO</t>
  </si>
  <si>
    <t>e = c/d</t>
  </si>
  <si>
    <t>g</t>
  </si>
  <si>
    <t>h</t>
  </si>
  <si>
    <t>i</t>
  </si>
  <si>
    <t>j</t>
  </si>
  <si>
    <t>k</t>
  </si>
  <si>
    <t>l = f +g+..k</t>
  </si>
  <si>
    <t>m = c+l</t>
  </si>
  <si>
    <t>n</t>
  </si>
  <si>
    <t>o = m/n</t>
  </si>
  <si>
    <t>Properti</t>
  </si>
  <si>
    <t>Hospitality</t>
  </si>
  <si>
    <t>Kesehatan</t>
  </si>
  <si>
    <t>Pertambangan</t>
  </si>
  <si>
    <t>TOTAL</t>
  </si>
  <si>
    <t>Energy</t>
  </si>
  <si>
    <t>Kawasan Industri</t>
  </si>
  <si>
    <t>Peternakan</t>
  </si>
  <si>
    <t>Pertanian</t>
  </si>
  <si>
    <t>Perkebunan</t>
  </si>
  <si>
    <t>Industri Lainnya</t>
  </si>
  <si>
    <t>Kerja Sama Agrowisata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</si>
</sst>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8">
    <font>
      <sz val="11.0"/>
      <color theme="1"/>
      <name val="Aptos Narrow"/>
      <scheme val="minor"/>
    </font>
    <font>
      <sz val="11.0"/>
      <color theme="1"/>
      <name val="Aptos Narrow"/>
    </font>
    <font>
      <i/>
      <sz val="9.0"/>
      <color theme="1"/>
      <name val="Aptos Narrow"/>
    </font>
    <font>
      <i/>
      <sz val="11.0"/>
      <color theme="1"/>
      <name val="Arial"/>
    </font>
    <font>
      <b/>
      <sz val="11.0"/>
      <color theme="1"/>
      <name val="Aptos Narrow"/>
    </font>
    <font>
      <b/>
      <sz val="11.0"/>
      <color theme="1"/>
      <name val="Arial"/>
    </font>
    <font/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2BA76"/>
        <bgColor rgb="FF12BA76"/>
      </patternFill>
    </fill>
  </fills>
  <borders count="12">
    <border/>
    <border>
      <left/>
      <right/>
      <top style="medium">
        <color rgb="FF000000"/>
      </top>
    </border>
    <border>
      <top style="thin">
        <color rgb="FF000000"/>
      </top>
    </border>
    <border>
      <left/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/>
      <right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/>
    </xf>
    <xf borderId="0" fillId="0" fontId="3" numFmtId="0" xfId="0" applyAlignment="1" applyFont="1">
      <alignment horizontal="right" vertical="bottom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bottom"/>
    </xf>
    <xf borderId="3" fillId="2" fontId="4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 vertical="bottom"/>
    </xf>
    <xf borderId="5" fillId="0" fontId="6" numFmtId="0" xfId="0" applyBorder="1" applyFont="1"/>
    <xf borderId="4" fillId="0" fontId="6" numFmtId="0" xfId="0" applyBorder="1" applyFont="1"/>
    <xf borderId="4" fillId="2" fontId="4" numFmtId="0" xfId="0" applyAlignment="1" applyBorder="1" applyFont="1">
      <alignment horizontal="center" vertical="bottom"/>
    </xf>
    <xf borderId="6" fillId="0" fontId="6" numFmtId="0" xfId="0" applyBorder="1" applyFont="1"/>
    <xf borderId="7" fillId="2" fontId="4" numFmtId="0" xfId="0" applyAlignment="1" applyBorder="1" applyFont="1">
      <alignment horizontal="center" vertical="center"/>
    </xf>
    <xf borderId="2" fillId="2" fontId="5" numFmtId="0" xfId="0" applyAlignment="1" applyBorder="1" applyFont="1">
      <alignment horizontal="center" shrinkToFit="0" vertical="bottom" wrapText="1"/>
    </xf>
    <xf borderId="2" fillId="2" fontId="5" numFmtId="0" xfId="0" applyAlignment="1" applyBorder="1" applyFont="1">
      <alignment horizontal="center" vertical="bottom"/>
    </xf>
    <xf borderId="7" fillId="2" fontId="4" numFmtId="0" xfId="0" applyAlignment="1" applyBorder="1" applyFont="1">
      <alignment horizontal="center"/>
    </xf>
    <xf borderId="8" fillId="0" fontId="6" numFmtId="0" xfId="0" applyBorder="1" applyFont="1"/>
    <xf borderId="8" fillId="2" fontId="4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center"/>
    </xf>
    <xf borderId="4" fillId="0" fontId="1" numFmtId="0" xfId="0" applyBorder="1" applyFont="1"/>
    <xf borderId="4" fillId="0" fontId="1" numFmtId="164" xfId="0" applyBorder="1" applyFont="1" applyNumberFormat="1"/>
    <xf borderId="8" fillId="2" fontId="5" numFmtId="0" xfId="0" applyAlignment="1" applyBorder="1" applyFont="1">
      <alignment horizontal="center" vertical="bottom"/>
    </xf>
    <xf borderId="8" fillId="0" fontId="1" numFmtId="0" xfId="0" applyAlignment="1" applyBorder="1" applyFont="1">
      <alignment horizontal="center" vertical="bottom"/>
    </xf>
    <xf borderId="8" fillId="0" fontId="1" numFmtId="0" xfId="0" applyAlignment="1" applyBorder="1" applyFont="1">
      <alignment vertical="bottom"/>
    </xf>
    <xf borderId="8" fillId="0" fontId="7" numFmtId="3" xfId="0" applyAlignment="1" applyBorder="1" applyFont="1" applyNumberFormat="1">
      <alignment horizontal="right" vertical="bottom"/>
    </xf>
    <xf borderId="8" fillId="0" fontId="1" numFmtId="9" xfId="0" applyAlignment="1" applyBorder="1" applyFont="1" applyNumberFormat="1">
      <alignment horizontal="right" vertical="bottom"/>
    </xf>
    <xf borderId="8" fillId="0" fontId="1" numFmtId="3" xfId="0" applyAlignment="1" applyBorder="1" applyFont="1" applyNumberFormat="1">
      <alignment horizontal="right" vertical="bottom"/>
    </xf>
    <xf borderId="9" fillId="2" fontId="4" numFmtId="0" xfId="0" applyAlignment="1" applyBorder="1" applyFont="1">
      <alignment horizontal="center"/>
    </xf>
    <xf borderId="10" fillId="0" fontId="6" numFmtId="0" xfId="0" applyBorder="1" applyFont="1"/>
    <xf borderId="11" fillId="2" fontId="4" numFmtId="164" xfId="0" applyBorder="1" applyFont="1" applyNumberFormat="1"/>
    <xf borderId="8" fillId="2" fontId="4" numFmtId="3" xfId="0" applyAlignment="1" applyBorder="1" applyFont="1" applyNumberFormat="1">
      <alignment horizontal="right" vertical="bottom"/>
    </xf>
    <xf borderId="8" fillId="2" fontId="4" numFmtId="9" xfId="0" applyAlignment="1" applyBorder="1" applyFont="1" applyNumberFormat="1">
      <alignment horizontal="right" vertical="bottom"/>
    </xf>
    <xf borderId="8" fillId="2" fontId="4" numFmtId="10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38"/>
    <col customWidth="1" min="2" max="2" width="4.38"/>
    <col customWidth="1" min="3" max="3" width="20.0"/>
    <col customWidth="1" min="4" max="5" width="8.25"/>
    <col customWidth="1" min="6" max="6" width="11.25"/>
    <col customWidth="1" min="7" max="7" width="8.0"/>
    <col customWidth="1" min="8" max="8" width="9.25"/>
    <col customWidth="1" min="9" max="12" width="11.25"/>
    <col customWidth="1" min="13" max="13" width="16.75"/>
    <col customWidth="1" min="14" max="16" width="13.88"/>
    <col customWidth="1" min="17" max="27" width="8.63"/>
  </cols>
  <sheetData>
    <row r="1" ht="14.25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3" t="s">
        <v>0</v>
      </c>
      <c r="P1" s="1"/>
    </row>
    <row r="2" ht="14.25" customHeight="1">
      <c r="B2" s="5" t="s">
        <v>1</v>
      </c>
      <c r="C2" s="5" t="s">
        <v>3</v>
      </c>
      <c r="D2" s="7" t="s">
        <v>5</v>
      </c>
      <c r="E2" s="9"/>
      <c r="F2" s="9"/>
      <c r="G2" s="10" t="s">
        <v>7</v>
      </c>
      <c r="H2" s="9"/>
      <c r="I2" s="9"/>
      <c r="J2" s="9"/>
      <c r="K2" s="9"/>
      <c r="L2" s="9"/>
      <c r="M2" s="13" t="s">
        <v>8</v>
      </c>
      <c r="N2" s="14" t="s">
        <v>11</v>
      </c>
      <c r="O2" s="10" t="s">
        <v>13</v>
      </c>
      <c r="P2" s="9"/>
    </row>
    <row r="3" ht="14.25" customHeight="1">
      <c r="B3" s="16"/>
      <c r="C3" s="16"/>
      <c r="D3" s="17" t="s">
        <v>16</v>
      </c>
      <c r="E3" s="17" t="s">
        <v>19</v>
      </c>
      <c r="F3" s="17" t="s">
        <v>21</v>
      </c>
      <c r="G3" s="17" t="s">
        <v>23</v>
      </c>
      <c r="H3" s="17" t="s">
        <v>24</v>
      </c>
      <c r="I3" s="17" t="s">
        <v>25</v>
      </c>
      <c r="J3" s="17" t="s">
        <v>26</v>
      </c>
      <c r="K3" s="17" t="s">
        <v>27</v>
      </c>
      <c r="L3" s="17" t="s">
        <v>28</v>
      </c>
      <c r="M3" s="16"/>
      <c r="N3" s="16"/>
      <c r="O3" s="17" t="s">
        <v>13</v>
      </c>
      <c r="P3" s="17" t="s">
        <v>29</v>
      </c>
    </row>
    <row r="4" ht="14.25" customHeight="1">
      <c r="B4" s="17" t="s">
        <v>14</v>
      </c>
      <c r="C4" s="17" t="s">
        <v>15</v>
      </c>
      <c r="D4" s="17" t="s">
        <v>17</v>
      </c>
      <c r="E4" s="17" t="s">
        <v>18</v>
      </c>
      <c r="F4" s="21" t="s">
        <v>30</v>
      </c>
      <c r="G4" s="17" t="s">
        <v>22</v>
      </c>
      <c r="H4" s="17" t="s">
        <v>31</v>
      </c>
      <c r="I4" s="17" t="s">
        <v>32</v>
      </c>
      <c r="J4" s="17" t="s">
        <v>33</v>
      </c>
      <c r="K4" s="17" t="s">
        <v>34</v>
      </c>
      <c r="L4" s="17" t="s">
        <v>35</v>
      </c>
      <c r="M4" s="21" t="s">
        <v>36</v>
      </c>
      <c r="N4" s="21" t="s">
        <v>37</v>
      </c>
      <c r="O4" s="21" t="s">
        <v>38</v>
      </c>
      <c r="P4" s="21" t="s">
        <v>39</v>
      </c>
    </row>
    <row r="5" ht="14.25" customHeight="1">
      <c r="B5" s="22">
        <v>1.0</v>
      </c>
      <c r="C5" s="23" t="s">
        <v>40</v>
      </c>
      <c r="D5" s="24">
        <v>6.0</v>
      </c>
      <c r="E5" s="24">
        <v>12.0</v>
      </c>
      <c r="F5" s="25">
        <f t="shared" ref="F5:F16" si="1">D5/E5</f>
        <v>0.5</v>
      </c>
      <c r="G5" s="26">
        <v>1.0</v>
      </c>
      <c r="H5" s="26">
        <v>1.0</v>
      </c>
      <c r="I5" s="26">
        <v>1.0</v>
      </c>
      <c r="J5" s="26">
        <v>1.0</v>
      </c>
      <c r="K5" s="26">
        <v>1.0</v>
      </c>
      <c r="L5" s="26">
        <v>1.0</v>
      </c>
      <c r="M5" s="26">
        <v>6.0</v>
      </c>
      <c r="N5" s="26">
        <f t="shared" ref="N5:N16" si="2">M5+D5</f>
        <v>12</v>
      </c>
      <c r="O5" s="24">
        <f t="shared" ref="O5:O15" si="3">E5:E16</f>
        <v>12</v>
      </c>
      <c r="P5" s="25">
        <f t="shared" ref="P5:P16" si="4">N5/O5</f>
        <v>1</v>
      </c>
    </row>
    <row r="6" ht="14.25" customHeight="1">
      <c r="B6" s="22">
        <v>2.0</v>
      </c>
      <c r="C6" s="23" t="s">
        <v>41</v>
      </c>
      <c r="D6" s="24">
        <v>6.0</v>
      </c>
      <c r="E6" s="24">
        <v>12.0</v>
      </c>
      <c r="F6" s="25">
        <f t="shared" si="1"/>
        <v>0.5</v>
      </c>
      <c r="G6" s="26">
        <v>1.0</v>
      </c>
      <c r="H6" s="26">
        <v>1.0</v>
      </c>
      <c r="I6" s="26">
        <v>1.0</v>
      </c>
      <c r="J6" s="26">
        <v>1.0</v>
      </c>
      <c r="K6" s="26">
        <v>1.0</v>
      </c>
      <c r="L6" s="26">
        <v>1.0</v>
      </c>
      <c r="M6" s="26">
        <v>6.0</v>
      </c>
      <c r="N6" s="26">
        <f t="shared" si="2"/>
        <v>12</v>
      </c>
      <c r="O6" s="24">
        <f t="shared" si="3"/>
        <v>12</v>
      </c>
      <c r="P6" s="25">
        <f t="shared" si="4"/>
        <v>1</v>
      </c>
    </row>
    <row r="7" ht="14.25" customHeight="1">
      <c r="B7" s="22">
        <v>3.0</v>
      </c>
      <c r="C7" s="23" t="s">
        <v>42</v>
      </c>
      <c r="D7" s="24">
        <v>6.0</v>
      </c>
      <c r="E7" s="24">
        <v>12.0</v>
      </c>
      <c r="F7" s="25">
        <f t="shared" si="1"/>
        <v>0.5</v>
      </c>
      <c r="G7" s="26">
        <v>1.0</v>
      </c>
      <c r="H7" s="26">
        <v>1.0</v>
      </c>
      <c r="I7" s="26">
        <v>1.0</v>
      </c>
      <c r="J7" s="26">
        <v>1.0</v>
      </c>
      <c r="K7" s="26">
        <v>1.0</v>
      </c>
      <c r="L7" s="26">
        <v>1.0</v>
      </c>
      <c r="M7" s="26">
        <v>6.0</v>
      </c>
      <c r="N7" s="26">
        <f t="shared" si="2"/>
        <v>12</v>
      </c>
      <c r="O7" s="24">
        <f t="shared" si="3"/>
        <v>12</v>
      </c>
      <c r="P7" s="25">
        <f t="shared" si="4"/>
        <v>1</v>
      </c>
    </row>
    <row r="8" ht="14.25" customHeight="1">
      <c r="B8" s="22">
        <v>4.0</v>
      </c>
      <c r="C8" s="23" t="s">
        <v>43</v>
      </c>
      <c r="D8" s="24">
        <v>6.0</v>
      </c>
      <c r="E8" s="24">
        <v>12.0</v>
      </c>
      <c r="F8" s="25">
        <f t="shared" si="1"/>
        <v>0.5</v>
      </c>
      <c r="G8" s="26">
        <v>1.0</v>
      </c>
      <c r="H8" s="26">
        <v>1.0</v>
      </c>
      <c r="I8" s="26">
        <v>1.0</v>
      </c>
      <c r="J8" s="26">
        <v>1.0</v>
      </c>
      <c r="K8" s="26">
        <v>1.0</v>
      </c>
      <c r="L8" s="26">
        <v>1.0</v>
      </c>
      <c r="M8" s="26">
        <v>6.0</v>
      </c>
      <c r="N8" s="26">
        <f t="shared" si="2"/>
        <v>12</v>
      </c>
      <c r="O8" s="24">
        <f t="shared" si="3"/>
        <v>12</v>
      </c>
      <c r="P8" s="25">
        <f t="shared" si="4"/>
        <v>1</v>
      </c>
    </row>
    <row r="9" ht="14.25" customHeight="1">
      <c r="B9" s="22">
        <v>5.0</v>
      </c>
      <c r="C9" s="23" t="s">
        <v>45</v>
      </c>
      <c r="D9" s="24">
        <v>6.0</v>
      </c>
      <c r="E9" s="24">
        <v>12.0</v>
      </c>
      <c r="F9" s="25">
        <f t="shared" si="1"/>
        <v>0.5</v>
      </c>
      <c r="G9" s="26">
        <v>1.0</v>
      </c>
      <c r="H9" s="26">
        <v>1.0</v>
      </c>
      <c r="I9" s="26">
        <v>1.0</v>
      </c>
      <c r="J9" s="26">
        <v>1.0</v>
      </c>
      <c r="K9" s="26">
        <v>1.0</v>
      </c>
      <c r="L9" s="26">
        <v>1.0</v>
      </c>
      <c r="M9" s="26">
        <v>6.0</v>
      </c>
      <c r="N9" s="26">
        <f t="shared" si="2"/>
        <v>12</v>
      </c>
      <c r="O9" s="24">
        <f t="shared" si="3"/>
        <v>12</v>
      </c>
      <c r="P9" s="25">
        <f t="shared" si="4"/>
        <v>1</v>
      </c>
    </row>
    <row r="10" ht="14.25" customHeight="1">
      <c r="B10" s="22">
        <v>6.0</v>
      </c>
      <c r="C10" s="23" t="s">
        <v>46</v>
      </c>
      <c r="D10" s="24">
        <v>6.0</v>
      </c>
      <c r="E10" s="24">
        <v>12.0</v>
      </c>
      <c r="F10" s="25">
        <f t="shared" si="1"/>
        <v>0.5</v>
      </c>
      <c r="G10" s="26">
        <v>1.0</v>
      </c>
      <c r="H10" s="26">
        <v>1.0</v>
      </c>
      <c r="I10" s="26">
        <v>1.0</v>
      </c>
      <c r="J10" s="26">
        <v>1.0</v>
      </c>
      <c r="K10" s="26">
        <v>1.0</v>
      </c>
      <c r="L10" s="26">
        <v>1.0</v>
      </c>
      <c r="M10" s="26">
        <v>6.0</v>
      </c>
      <c r="N10" s="26">
        <f t="shared" si="2"/>
        <v>12</v>
      </c>
      <c r="O10" s="24">
        <f t="shared" si="3"/>
        <v>12</v>
      </c>
      <c r="P10" s="25">
        <f t="shared" si="4"/>
        <v>1</v>
      </c>
    </row>
    <row r="11" ht="14.25" customHeight="1">
      <c r="B11" s="22">
        <v>7.0</v>
      </c>
      <c r="C11" s="23" t="s">
        <v>47</v>
      </c>
      <c r="D11" s="24">
        <v>6.0</v>
      </c>
      <c r="E11" s="24">
        <v>12.0</v>
      </c>
      <c r="F11" s="25">
        <f t="shared" si="1"/>
        <v>0.5</v>
      </c>
      <c r="G11" s="26">
        <v>1.0</v>
      </c>
      <c r="H11" s="26">
        <v>1.0</v>
      </c>
      <c r="I11" s="26">
        <v>1.0</v>
      </c>
      <c r="J11" s="26">
        <v>1.0</v>
      </c>
      <c r="K11" s="26">
        <v>1.0</v>
      </c>
      <c r="L11" s="26">
        <v>1.0</v>
      </c>
      <c r="M11" s="26">
        <v>6.0</v>
      </c>
      <c r="N11" s="26">
        <f t="shared" si="2"/>
        <v>12</v>
      </c>
      <c r="O11" s="24">
        <f t="shared" si="3"/>
        <v>12</v>
      </c>
      <c r="P11" s="25">
        <f t="shared" si="4"/>
        <v>1</v>
      </c>
    </row>
    <row r="12" ht="14.25" customHeight="1">
      <c r="B12" s="22">
        <v>8.0</v>
      </c>
      <c r="C12" s="23" t="s">
        <v>48</v>
      </c>
      <c r="D12" s="24">
        <v>6.0</v>
      </c>
      <c r="E12" s="24">
        <v>12.0</v>
      </c>
      <c r="F12" s="25">
        <f t="shared" si="1"/>
        <v>0.5</v>
      </c>
      <c r="G12" s="26">
        <v>1.0</v>
      </c>
      <c r="H12" s="26">
        <v>1.0</v>
      </c>
      <c r="I12" s="26">
        <v>1.0</v>
      </c>
      <c r="J12" s="26">
        <v>1.0</v>
      </c>
      <c r="K12" s="26">
        <v>1.0</v>
      </c>
      <c r="L12" s="26">
        <v>1.0</v>
      </c>
      <c r="M12" s="26">
        <v>6.0</v>
      </c>
      <c r="N12" s="26">
        <f t="shared" si="2"/>
        <v>12</v>
      </c>
      <c r="O12" s="24">
        <f t="shared" si="3"/>
        <v>12</v>
      </c>
      <c r="P12" s="25">
        <f t="shared" si="4"/>
        <v>1</v>
      </c>
    </row>
    <row r="13" ht="14.25" customHeight="1">
      <c r="B13" s="22">
        <v>9.0</v>
      </c>
      <c r="C13" s="23" t="s">
        <v>49</v>
      </c>
      <c r="D13" s="24">
        <v>6.0</v>
      </c>
      <c r="E13" s="24">
        <v>12.0</v>
      </c>
      <c r="F13" s="25">
        <f t="shared" si="1"/>
        <v>0.5</v>
      </c>
      <c r="G13" s="26">
        <v>1.0</v>
      </c>
      <c r="H13" s="26">
        <v>1.0</v>
      </c>
      <c r="I13" s="26">
        <v>1.0</v>
      </c>
      <c r="J13" s="26">
        <v>1.0</v>
      </c>
      <c r="K13" s="26">
        <v>1.0</v>
      </c>
      <c r="L13" s="26">
        <v>1.0</v>
      </c>
      <c r="M13" s="26">
        <v>6.0</v>
      </c>
      <c r="N13" s="26">
        <f t="shared" si="2"/>
        <v>12</v>
      </c>
      <c r="O13" s="24">
        <f t="shared" si="3"/>
        <v>12</v>
      </c>
      <c r="P13" s="25">
        <f t="shared" si="4"/>
        <v>1</v>
      </c>
    </row>
    <row r="14" ht="14.25" customHeight="1">
      <c r="B14" s="22">
        <v>10.0</v>
      </c>
      <c r="C14" s="23" t="s">
        <v>50</v>
      </c>
      <c r="D14" s="24">
        <v>6.0</v>
      </c>
      <c r="E14" s="24">
        <v>12.0</v>
      </c>
      <c r="F14" s="25">
        <f t="shared" si="1"/>
        <v>0.5</v>
      </c>
      <c r="G14" s="26">
        <v>1.0</v>
      </c>
      <c r="H14" s="26">
        <v>1.0</v>
      </c>
      <c r="I14" s="26">
        <v>1.0</v>
      </c>
      <c r="J14" s="26">
        <v>1.0</v>
      </c>
      <c r="K14" s="26">
        <v>1.0</v>
      </c>
      <c r="L14" s="26">
        <v>1.0</v>
      </c>
      <c r="M14" s="26">
        <v>6.0</v>
      </c>
      <c r="N14" s="26">
        <f t="shared" si="2"/>
        <v>12</v>
      </c>
      <c r="O14" s="24">
        <f t="shared" si="3"/>
        <v>12</v>
      </c>
      <c r="P14" s="25">
        <f t="shared" si="4"/>
        <v>1</v>
      </c>
    </row>
    <row r="15" ht="14.25" customHeight="1">
      <c r="B15" s="22">
        <v>11.0</v>
      </c>
      <c r="C15" s="23" t="s">
        <v>51</v>
      </c>
      <c r="D15" s="24">
        <v>6.0</v>
      </c>
      <c r="E15" s="24">
        <v>12.0</v>
      </c>
      <c r="F15" s="25">
        <f t="shared" si="1"/>
        <v>0.5</v>
      </c>
      <c r="G15" s="26">
        <v>1.0</v>
      </c>
      <c r="H15" s="26">
        <v>1.0</v>
      </c>
      <c r="I15" s="26">
        <v>1.0</v>
      </c>
      <c r="J15" s="26">
        <v>1.0</v>
      </c>
      <c r="K15" s="26">
        <v>1.0</v>
      </c>
      <c r="L15" s="26">
        <v>1.0</v>
      </c>
      <c r="M15" s="26">
        <v>6.0</v>
      </c>
      <c r="N15" s="26">
        <f t="shared" si="2"/>
        <v>12</v>
      </c>
      <c r="O15" s="24">
        <f t="shared" si="3"/>
        <v>12</v>
      </c>
      <c r="P15" s="25">
        <f t="shared" si="4"/>
        <v>1</v>
      </c>
    </row>
    <row r="16" ht="14.25" customHeight="1">
      <c r="B16" s="10" t="s">
        <v>44</v>
      </c>
      <c r="C16" s="9"/>
      <c r="D16" s="30">
        <f>SUM(D2:D15)</f>
        <v>66</v>
      </c>
      <c r="E16" s="30">
        <v>12.0</v>
      </c>
      <c r="F16" s="31">
        <f t="shared" si="1"/>
        <v>5.5</v>
      </c>
      <c r="G16" s="30">
        <v>11.0</v>
      </c>
      <c r="H16" s="30">
        <v>11.0</v>
      </c>
      <c r="I16" s="30">
        <v>11.0</v>
      </c>
      <c r="J16" s="30">
        <v>11.0</v>
      </c>
      <c r="K16" s="30">
        <v>11.0</v>
      </c>
      <c r="L16" s="30">
        <v>11.0</v>
      </c>
      <c r="M16" s="30">
        <v>66.0</v>
      </c>
      <c r="N16" s="30">
        <f t="shared" si="2"/>
        <v>132</v>
      </c>
      <c r="O16" s="30">
        <f>SUM(O2:O15)</f>
        <v>132</v>
      </c>
      <c r="P16" s="32">
        <f t="shared" si="4"/>
        <v>1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</sheetData>
  <mergeCells count="8">
    <mergeCell ref="B2:B3"/>
    <mergeCell ref="C2:C3"/>
    <mergeCell ref="D2:F2"/>
    <mergeCell ref="G2:L2"/>
    <mergeCell ref="M2:M3"/>
    <mergeCell ref="N2:N3"/>
    <mergeCell ref="O2:P2"/>
    <mergeCell ref="B16:C1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38"/>
    <col customWidth="1" min="2" max="2" width="4.38"/>
    <col customWidth="1" min="3" max="3" width="20.0"/>
    <col customWidth="1" min="4" max="5" width="8.25"/>
    <col customWidth="1" min="6" max="6" width="11.25"/>
    <col customWidth="1" min="7" max="7" width="5.88"/>
    <col customWidth="1" min="8" max="8" width="9.75"/>
    <col customWidth="1" min="9" max="9" width="11.25"/>
    <col customWidth="1" min="10" max="10" width="10.25"/>
    <col customWidth="1" min="11" max="11" width="9.75"/>
    <col customWidth="1" min="12" max="12" width="11.25"/>
    <col customWidth="1" min="13" max="13" width="14.13"/>
    <col customWidth="1" min="14" max="15" width="13.88"/>
    <col customWidth="1" min="16" max="16" width="15.0"/>
    <col customWidth="1" min="17" max="26" width="8.63"/>
  </cols>
  <sheetData>
    <row r="1" ht="14.25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3" t="s">
        <v>0</v>
      </c>
      <c r="P1" s="1"/>
    </row>
    <row r="2" ht="14.25" customHeight="1">
      <c r="B2" s="5" t="s">
        <v>1</v>
      </c>
      <c r="C2" s="5" t="s">
        <v>3</v>
      </c>
      <c r="D2" s="7" t="s">
        <v>5</v>
      </c>
      <c r="E2" s="9"/>
      <c r="F2" s="9"/>
      <c r="G2" s="10" t="s">
        <v>7</v>
      </c>
      <c r="H2" s="9"/>
      <c r="I2" s="9"/>
      <c r="J2" s="9"/>
      <c r="K2" s="9"/>
      <c r="L2" s="9"/>
      <c r="M2" s="13" t="s">
        <v>8</v>
      </c>
      <c r="N2" s="14" t="s">
        <v>11</v>
      </c>
      <c r="O2" s="10" t="s">
        <v>13</v>
      </c>
      <c r="P2" s="9"/>
    </row>
    <row r="3" ht="14.25" customHeight="1">
      <c r="B3" s="16"/>
      <c r="C3" s="16"/>
      <c r="D3" s="17" t="s">
        <v>16</v>
      </c>
      <c r="E3" s="17" t="s">
        <v>19</v>
      </c>
      <c r="F3" s="17" t="s">
        <v>21</v>
      </c>
      <c r="G3" s="17" t="s">
        <v>23</v>
      </c>
      <c r="H3" s="17" t="s">
        <v>24</v>
      </c>
      <c r="I3" s="17" t="s">
        <v>25</v>
      </c>
      <c r="J3" s="17" t="s">
        <v>26</v>
      </c>
      <c r="K3" s="17" t="s">
        <v>27</v>
      </c>
      <c r="L3" s="17" t="s">
        <v>28</v>
      </c>
      <c r="M3" s="16"/>
      <c r="N3" s="16"/>
      <c r="O3" s="17" t="s">
        <v>13</v>
      </c>
      <c r="P3" s="17" t="s">
        <v>29</v>
      </c>
    </row>
    <row r="4" ht="14.25" customHeight="1">
      <c r="B4" s="17" t="s">
        <v>14</v>
      </c>
      <c r="C4" s="17" t="s">
        <v>15</v>
      </c>
      <c r="D4" s="17" t="s">
        <v>17</v>
      </c>
      <c r="E4" s="17" t="s">
        <v>18</v>
      </c>
      <c r="F4" s="21" t="s">
        <v>30</v>
      </c>
      <c r="G4" s="17" t="s">
        <v>22</v>
      </c>
      <c r="H4" s="17" t="s">
        <v>31</v>
      </c>
      <c r="I4" s="17" t="s">
        <v>32</v>
      </c>
      <c r="J4" s="17" t="s">
        <v>33</v>
      </c>
      <c r="K4" s="17" t="s">
        <v>34</v>
      </c>
      <c r="L4" s="17" t="s">
        <v>35</v>
      </c>
      <c r="M4" s="21" t="s">
        <v>36</v>
      </c>
      <c r="N4" s="21" t="s">
        <v>37</v>
      </c>
      <c r="O4" s="21" t="s">
        <v>38</v>
      </c>
      <c r="P4" s="21" t="s">
        <v>39</v>
      </c>
    </row>
    <row r="5" ht="14.25" customHeight="1">
      <c r="B5" s="22">
        <v>1.0</v>
      </c>
      <c r="C5" s="23" t="s">
        <v>40</v>
      </c>
      <c r="D5" s="24">
        <v>6.0</v>
      </c>
      <c r="E5" s="24">
        <v>12.0</v>
      </c>
      <c r="F5" s="25">
        <f t="shared" ref="F5:F16" si="1">D5/E5</f>
        <v>0.5</v>
      </c>
      <c r="G5" s="26">
        <v>1.0</v>
      </c>
      <c r="H5" s="26">
        <v>1.0</v>
      </c>
      <c r="I5" s="26">
        <v>1.0</v>
      </c>
      <c r="J5" s="26">
        <v>1.0</v>
      </c>
      <c r="K5" s="26">
        <v>1.0</v>
      </c>
      <c r="L5" s="26">
        <v>1.0</v>
      </c>
      <c r="M5" s="26">
        <v>6.0</v>
      </c>
      <c r="N5" s="26">
        <f t="shared" ref="N5:N16" si="2">M5+D5</f>
        <v>12</v>
      </c>
      <c r="O5" s="24">
        <f t="shared" ref="O5:O15" si="3">E5:E16</f>
        <v>12</v>
      </c>
      <c r="P5" s="25">
        <f t="shared" ref="P5:P16" si="4">N5/O5</f>
        <v>1</v>
      </c>
    </row>
    <row r="6" ht="14.25" customHeight="1">
      <c r="B6" s="22">
        <v>2.0</v>
      </c>
      <c r="C6" s="23" t="s">
        <v>41</v>
      </c>
      <c r="D6" s="24">
        <v>6.0</v>
      </c>
      <c r="E6" s="24">
        <v>12.0</v>
      </c>
      <c r="F6" s="25">
        <f t="shared" si="1"/>
        <v>0.5</v>
      </c>
      <c r="G6" s="26">
        <v>1.0</v>
      </c>
      <c r="H6" s="26">
        <v>1.0</v>
      </c>
      <c r="I6" s="26">
        <v>1.0</v>
      </c>
      <c r="J6" s="26">
        <v>1.0</v>
      </c>
      <c r="K6" s="26">
        <v>1.0</v>
      </c>
      <c r="L6" s="26">
        <v>1.0</v>
      </c>
      <c r="M6" s="26">
        <v>6.0</v>
      </c>
      <c r="N6" s="26">
        <f t="shared" si="2"/>
        <v>12</v>
      </c>
      <c r="O6" s="24">
        <f t="shared" si="3"/>
        <v>12</v>
      </c>
      <c r="P6" s="25">
        <f t="shared" si="4"/>
        <v>1</v>
      </c>
    </row>
    <row r="7" ht="14.25" customHeight="1">
      <c r="B7" s="22">
        <v>3.0</v>
      </c>
      <c r="C7" s="23" t="s">
        <v>42</v>
      </c>
      <c r="D7" s="24">
        <v>6.0</v>
      </c>
      <c r="E7" s="24">
        <v>12.0</v>
      </c>
      <c r="F7" s="25">
        <f t="shared" si="1"/>
        <v>0.5</v>
      </c>
      <c r="G7" s="26">
        <v>1.0</v>
      </c>
      <c r="H7" s="26">
        <v>1.0</v>
      </c>
      <c r="I7" s="26">
        <v>1.0</v>
      </c>
      <c r="J7" s="26">
        <v>1.0</v>
      </c>
      <c r="K7" s="26">
        <v>1.0</v>
      </c>
      <c r="L7" s="26">
        <v>1.0</v>
      </c>
      <c r="M7" s="26">
        <v>6.0</v>
      </c>
      <c r="N7" s="26">
        <f t="shared" si="2"/>
        <v>12</v>
      </c>
      <c r="O7" s="24">
        <f t="shared" si="3"/>
        <v>12</v>
      </c>
      <c r="P7" s="25">
        <f t="shared" si="4"/>
        <v>1</v>
      </c>
    </row>
    <row r="8" ht="14.25" customHeight="1">
      <c r="B8" s="22">
        <v>4.0</v>
      </c>
      <c r="C8" s="23" t="s">
        <v>43</v>
      </c>
      <c r="D8" s="24">
        <v>6.0</v>
      </c>
      <c r="E8" s="24">
        <v>12.0</v>
      </c>
      <c r="F8" s="25">
        <f t="shared" si="1"/>
        <v>0.5</v>
      </c>
      <c r="G8" s="26">
        <v>1.0</v>
      </c>
      <c r="H8" s="26">
        <v>1.0</v>
      </c>
      <c r="I8" s="26">
        <v>1.0</v>
      </c>
      <c r="J8" s="26">
        <v>1.0</v>
      </c>
      <c r="K8" s="26">
        <v>1.0</v>
      </c>
      <c r="L8" s="26">
        <v>1.0</v>
      </c>
      <c r="M8" s="26">
        <v>6.0</v>
      </c>
      <c r="N8" s="26">
        <f t="shared" si="2"/>
        <v>12</v>
      </c>
      <c r="O8" s="24">
        <f t="shared" si="3"/>
        <v>12</v>
      </c>
      <c r="P8" s="25">
        <f t="shared" si="4"/>
        <v>1</v>
      </c>
    </row>
    <row r="9" ht="14.25" customHeight="1">
      <c r="B9" s="22">
        <v>5.0</v>
      </c>
      <c r="C9" s="23" t="s">
        <v>45</v>
      </c>
      <c r="D9" s="24">
        <v>6.0</v>
      </c>
      <c r="E9" s="24">
        <v>12.0</v>
      </c>
      <c r="F9" s="25">
        <f t="shared" si="1"/>
        <v>0.5</v>
      </c>
      <c r="G9" s="26">
        <v>1.0</v>
      </c>
      <c r="H9" s="26">
        <v>1.0</v>
      </c>
      <c r="I9" s="26">
        <v>1.0</v>
      </c>
      <c r="J9" s="26">
        <v>1.0</v>
      </c>
      <c r="K9" s="26">
        <v>1.0</v>
      </c>
      <c r="L9" s="26">
        <v>1.0</v>
      </c>
      <c r="M9" s="26">
        <v>6.0</v>
      </c>
      <c r="N9" s="26">
        <f t="shared" si="2"/>
        <v>12</v>
      </c>
      <c r="O9" s="24">
        <f t="shared" si="3"/>
        <v>12</v>
      </c>
      <c r="P9" s="25">
        <f t="shared" si="4"/>
        <v>1</v>
      </c>
    </row>
    <row r="10" ht="14.25" customHeight="1">
      <c r="B10" s="22">
        <v>6.0</v>
      </c>
      <c r="C10" s="23" t="s">
        <v>46</v>
      </c>
      <c r="D10" s="24">
        <v>6.0</v>
      </c>
      <c r="E10" s="24">
        <v>12.0</v>
      </c>
      <c r="F10" s="25">
        <f t="shared" si="1"/>
        <v>0.5</v>
      </c>
      <c r="G10" s="26">
        <v>1.0</v>
      </c>
      <c r="H10" s="26">
        <v>1.0</v>
      </c>
      <c r="I10" s="26">
        <v>1.0</v>
      </c>
      <c r="J10" s="26">
        <v>1.0</v>
      </c>
      <c r="K10" s="26">
        <v>1.0</v>
      </c>
      <c r="L10" s="26">
        <v>1.0</v>
      </c>
      <c r="M10" s="26">
        <v>6.0</v>
      </c>
      <c r="N10" s="26">
        <f t="shared" si="2"/>
        <v>12</v>
      </c>
      <c r="O10" s="24">
        <f t="shared" si="3"/>
        <v>12</v>
      </c>
      <c r="P10" s="25">
        <f t="shared" si="4"/>
        <v>1</v>
      </c>
    </row>
    <row r="11" ht="14.25" customHeight="1">
      <c r="B11" s="22">
        <v>7.0</v>
      </c>
      <c r="C11" s="23" t="s">
        <v>47</v>
      </c>
      <c r="D11" s="24">
        <v>6.0</v>
      </c>
      <c r="E11" s="24">
        <v>12.0</v>
      </c>
      <c r="F11" s="25">
        <f t="shared" si="1"/>
        <v>0.5</v>
      </c>
      <c r="G11" s="26">
        <v>1.0</v>
      </c>
      <c r="H11" s="26">
        <v>1.0</v>
      </c>
      <c r="I11" s="26">
        <v>1.0</v>
      </c>
      <c r="J11" s="26">
        <v>1.0</v>
      </c>
      <c r="K11" s="26">
        <v>1.0</v>
      </c>
      <c r="L11" s="26">
        <v>1.0</v>
      </c>
      <c r="M11" s="26">
        <v>6.0</v>
      </c>
      <c r="N11" s="26">
        <f t="shared" si="2"/>
        <v>12</v>
      </c>
      <c r="O11" s="24">
        <f t="shared" si="3"/>
        <v>12</v>
      </c>
      <c r="P11" s="25">
        <f t="shared" si="4"/>
        <v>1</v>
      </c>
    </row>
    <row r="12" ht="14.25" customHeight="1">
      <c r="B12" s="22">
        <v>8.0</v>
      </c>
      <c r="C12" s="23" t="s">
        <v>48</v>
      </c>
      <c r="D12" s="24">
        <v>6.0</v>
      </c>
      <c r="E12" s="24">
        <v>12.0</v>
      </c>
      <c r="F12" s="25">
        <f t="shared" si="1"/>
        <v>0.5</v>
      </c>
      <c r="G12" s="26">
        <v>1.0</v>
      </c>
      <c r="H12" s="26">
        <v>1.0</v>
      </c>
      <c r="I12" s="26">
        <v>1.0</v>
      </c>
      <c r="J12" s="26">
        <v>1.0</v>
      </c>
      <c r="K12" s="26">
        <v>1.0</v>
      </c>
      <c r="L12" s="26">
        <v>1.0</v>
      </c>
      <c r="M12" s="26">
        <v>6.0</v>
      </c>
      <c r="N12" s="26">
        <f t="shared" si="2"/>
        <v>12</v>
      </c>
      <c r="O12" s="24">
        <f t="shared" si="3"/>
        <v>12</v>
      </c>
      <c r="P12" s="25">
        <f t="shared" si="4"/>
        <v>1</v>
      </c>
    </row>
    <row r="13" ht="14.25" customHeight="1">
      <c r="B13" s="22">
        <v>9.0</v>
      </c>
      <c r="C13" s="23" t="s">
        <v>49</v>
      </c>
      <c r="D13" s="24">
        <v>6.0</v>
      </c>
      <c r="E13" s="24">
        <v>12.0</v>
      </c>
      <c r="F13" s="25">
        <f t="shared" si="1"/>
        <v>0.5</v>
      </c>
      <c r="G13" s="26">
        <v>1.0</v>
      </c>
      <c r="H13" s="26">
        <v>1.0</v>
      </c>
      <c r="I13" s="26">
        <v>1.0</v>
      </c>
      <c r="J13" s="26">
        <v>1.0</v>
      </c>
      <c r="K13" s="26">
        <v>1.0</v>
      </c>
      <c r="L13" s="26">
        <v>1.0</v>
      </c>
      <c r="M13" s="26">
        <v>6.0</v>
      </c>
      <c r="N13" s="26">
        <f t="shared" si="2"/>
        <v>12</v>
      </c>
      <c r="O13" s="24">
        <f t="shared" si="3"/>
        <v>12</v>
      </c>
      <c r="P13" s="25">
        <f t="shared" si="4"/>
        <v>1</v>
      </c>
    </row>
    <row r="14" ht="14.25" customHeight="1">
      <c r="B14" s="22">
        <v>10.0</v>
      </c>
      <c r="C14" s="23" t="s">
        <v>50</v>
      </c>
      <c r="D14" s="24">
        <v>6.0</v>
      </c>
      <c r="E14" s="24">
        <v>12.0</v>
      </c>
      <c r="F14" s="25">
        <f t="shared" si="1"/>
        <v>0.5</v>
      </c>
      <c r="G14" s="26">
        <v>1.0</v>
      </c>
      <c r="H14" s="26">
        <v>1.0</v>
      </c>
      <c r="I14" s="26">
        <v>1.0</v>
      </c>
      <c r="J14" s="26">
        <v>1.0</v>
      </c>
      <c r="K14" s="26">
        <v>1.0</v>
      </c>
      <c r="L14" s="26">
        <v>1.0</v>
      </c>
      <c r="M14" s="26">
        <v>6.0</v>
      </c>
      <c r="N14" s="26">
        <f t="shared" si="2"/>
        <v>12</v>
      </c>
      <c r="O14" s="24">
        <f t="shared" si="3"/>
        <v>12</v>
      </c>
      <c r="P14" s="25">
        <f t="shared" si="4"/>
        <v>1</v>
      </c>
    </row>
    <row r="15" ht="14.25" customHeight="1">
      <c r="B15" s="22">
        <v>11.0</v>
      </c>
      <c r="C15" s="23" t="s">
        <v>51</v>
      </c>
      <c r="D15" s="24">
        <v>6.0</v>
      </c>
      <c r="E15" s="24">
        <v>12.0</v>
      </c>
      <c r="F15" s="25">
        <f t="shared" si="1"/>
        <v>0.5</v>
      </c>
      <c r="G15" s="26">
        <v>1.0</v>
      </c>
      <c r="H15" s="26">
        <v>1.0</v>
      </c>
      <c r="I15" s="26">
        <v>1.0</v>
      </c>
      <c r="J15" s="26">
        <v>1.0</v>
      </c>
      <c r="K15" s="26">
        <v>1.0</v>
      </c>
      <c r="L15" s="26">
        <v>1.0</v>
      </c>
      <c r="M15" s="26">
        <v>6.0</v>
      </c>
      <c r="N15" s="26">
        <f t="shared" si="2"/>
        <v>12</v>
      </c>
      <c r="O15" s="24">
        <f t="shared" si="3"/>
        <v>12</v>
      </c>
      <c r="P15" s="25">
        <f t="shared" si="4"/>
        <v>1</v>
      </c>
    </row>
    <row r="16" ht="14.25" customHeight="1">
      <c r="B16" s="10" t="s">
        <v>44</v>
      </c>
      <c r="C16" s="9"/>
      <c r="D16" s="30">
        <f>SUM(D2:D15)</f>
        <v>66</v>
      </c>
      <c r="E16" s="30">
        <v>12.0</v>
      </c>
      <c r="F16" s="31">
        <f t="shared" si="1"/>
        <v>5.5</v>
      </c>
      <c r="G16" s="30">
        <v>11.0</v>
      </c>
      <c r="H16" s="30">
        <v>11.0</v>
      </c>
      <c r="I16" s="30">
        <v>11.0</v>
      </c>
      <c r="J16" s="30">
        <v>11.0</v>
      </c>
      <c r="K16" s="30">
        <v>11.0</v>
      </c>
      <c r="L16" s="30">
        <v>11.0</v>
      </c>
      <c r="M16" s="30">
        <v>66.0</v>
      </c>
      <c r="N16" s="30">
        <f t="shared" si="2"/>
        <v>132</v>
      </c>
      <c r="O16" s="30">
        <f>SUM(O2:O15)</f>
        <v>132</v>
      </c>
      <c r="P16" s="32">
        <f t="shared" si="4"/>
        <v>1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</sheetData>
  <mergeCells count="8">
    <mergeCell ref="B2:B3"/>
    <mergeCell ref="C2:C3"/>
    <mergeCell ref="D2:F2"/>
    <mergeCell ref="G2:L2"/>
    <mergeCell ref="M2:M3"/>
    <mergeCell ref="N2:N3"/>
    <mergeCell ref="O2:P2"/>
    <mergeCell ref="B16:C1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38"/>
    <col customWidth="1" min="2" max="2" width="4.38"/>
    <col customWidth="1" min="3" max="3" width="20.0"/>
    <col customWidth="1" min="4" max="5" width="14.38"/>
    <col customWidth="1" min="6" max="6" width="11.25"/>
    <col customWidth="1" min="7" max="7" width="103.5"/>
    <col customWidth="1" min="8" max="26" width="8.63"/>
  </cols>
  <sheetData>
    <row r="1" ht="14.25" customHeight="1"/>
    <row r="2" ht="14.25" customHeight="1">
      <c r="G2" s="2" t="s">
        <v>0</v>
      </c>
    </row>
    <row r="3" ht="14.25" customHeight="1">
      <c r="B3" s="4" t="s">
        <v>1</v>
      </c>
      <c r="C3" s="4" t="s">
        <v>2</v>
      </c>
      <c r="D3" s="6" t="s">
        <v>4</v>
      </c>
      <c r="E3" s="8"/>
      <c r="F3" s="8"/>
      <c r="G3" s="4" t="s">
        <v>6</v>
      </c>
    </row>
    <row r="4" ht="14.25" customHeight="1">
      <c r="B4" s="11"/>
      <c r="C4" s="11"/>
      <c r="D4" s="12" t="s">
        <v>9</v>
      </c>
      <c r="E4" s="12" t="s">
        <v>10</v>
      </c>
      <c r="F4" s="12" t="s">
        <v>12</v>
      </c>
      <c r="G4" s="11"/>
    </row>
    <row r="5" ht="14.25" customHeight="1">
      <c r="B5" s="15" t="s">
        <v>14</v>
      </c>
      <c r="C5" s="15" t="s">
        <v>15</v>
      </c>
      <c r="D5" s="15" t="s">
        <v>17</v>
      </c>
      <c r="E5" s="15" t="s">
        <v>18</v>
      </c>
      <c r="F5" s="15" t="s">
        <v>20</v>
      </c>
      <c r="G5" s="15" t="s">
        <v>22</v>
      </c>
    </row>
    <row r="6" ht="14.25" customHeight="1">
      <c r="B6" s="18">
        <v>1.0</v>
      </c>
      <c r="C6" s="19"/>
      <c r="D6" s="20">
        <v>1000.0</v>
      </c>
      <c r="E6" s="20">
        <v>1000.0</v>
      </c>
      <c r="F6" s="20">
        <f t="shared" ref="F6:F17" si="1">D6-E6</f>
        <v>0</v>
      </c>
      <c r="G6" s="20"/>
    </row>
    <row r="7" ht="14.25" customHeight="1">
      <c r="B7" s="18">
        <v>2.0</v>
      </c>
      <c r="C7" s="19"/>
      <c r="D7" s="20">
        <v>1000.0</v>
      </c>
      <c r="E7" s="20">
        <v>1000.0</v>
      </c>
      <c r="F7" s="20">
        <f t="shared" si="1"/>
        <v>0</v>
      </c>
      <c r="G7" s="20"/>
    </row>
    <row r="8" ht="14.25" customHeight="1">
      <c r="B8" s="18">
        <v>3.0</v>
      </c>
      <c r="C8" s="19"/>
      <c r="D8" s="20">
        <v>1000.0</v>
      </c>
      <c r="E8" s="20">
        <v>1000.0</v>
      </c>
      <c r="F8" s="20">
        <f t="shared" si="1"/>
        <v>0</v>
      </c>
      <c r="G8" s="20"/>
    </row>
    <row r="9" ht="14.25" customHeight="1">
      <c r="B9" s="18">
        <v>4.0</v>
      </c>
      <c r="C9" s="19"/>
      <c r="D9" s="20">
        <v>1000.0</v>
      </c>
      <c r="E9" s="20">
        <v>1000.0</v>
      </c>
      <c r="F9" s="20">
        <f t="shared" si="1"/>
        <v>0</v>
      </c>
      <c r="G9" s="20"/>
    </row>
    <row r="10" ht="14.25" customHeight="1">
      <c r="B10" s="18">
        <v>5.0</v>
      </c>
      <c r="C10" s="19"/>
      <c r="D10" s="20">
        <v>1000.0</v>
      </c>
      <c r="E10" s="20">
        <v>1000.0</v>
      </c>
      <c r="F10" s="20">
        <f t="shared" si="1"/>
        <v>0</v>
      </c>
      <c r="G10" s="20"/>
    </row>
    <row r="11" ht="14.25" customHeight="1">
      <c r="B11" s="18">
        <v>6.0</v>
      </c>
      <c r="C11" s="19"/>
      <c r="D11" s="20">
        <v>1000.0</v>
      </c>
      <c r="E11" s="20">
        <v>1000.0</v>
      </c>
      <c r="F11" s="20">
        <f t="shared" si="1"/>
        <v>0</v>
      </c>
      <c r="G11" s="20"/>
    </row>
    <row r="12" ht="14.25" customHeight="1">
      <c r="B12" s="18">
        <v>7.0</v>
      </c>
      <c r="C12" s="19"/>
      <c r="D12" s="20">
        <v>1000.0</v>
      </c>
      <c r="E12" s="20">
        <v>1000.0</v>
      </c>
      <c r="F12" s="20">
        <f t="shared" si="1"/>
        <v>0</v>
      </c>
      <c r="G12" s="20"/>
    </row>
    <row r="13" ht="14.25" customHeight="1">
      <c r="B13" s="18">
        <v>8.0</v>
      </c>
      <c r="C13" s="19"/>
      <c r="D13" s="20">
        <v>1000.0</v>
      </c>
      <c r="E13" s="20">
        <v>1000.0</v>
      </c>
      <c r="F13" s="20">
        <f t="shared" si="1"/>
        <v>0</v>
      </c>
      <c r="G13" s="20"/>
    </row>
    <row r="14" ht="14.25" customHeight="1">
      <c r="B14" s="18">
        <v>9.0</v>
      </c>
      <c r="C14" s="19"/>
      <c r="D14" s="20">
        <v>1000.0</v>
      </c>
      <c r="E14" s="20">
        <v>1000.0</v>
      </c>
      <c r="F14" s="20">
        <f t="shared" si="1"/>
        <v>0</v>
      </c>
      <c r="G14" s="20"/>
    </row>
    <row r="15" ht="14.25" customHeight="1">
      <c r="B15" s="18">
        <v>10.0</v>
      </c>
      <c r="C15" s="19"/>
      <c r="D15" s="20">
        <v>1000.0</v>
      </c>
      <c r="E15" s="20">
        <v>1000.0</v>
      </c>
      <c r="F15" s="20">
        <f t="shared" si="1"/>
        <v>0</v>
      </c>
      <c r="G15" s="20"/>
    </row>
    <row r="16" ht="14.25" customHeight="1">
      <c r="B16" s="18">
        <v>11.0</v>
      </c>
      <c r="C16" s="19"/>
      <c r="D16" s="20">
        <v>1000.0</v>
      </c>
      <c r="E16" s="20">
        <v>1000.0</v>
      </c>
      <c r="F16" s="20">
        <f t="shared" si="1"/>
        <v>0</v>
      </c>
      <c r="G16" s="20"/>
    </row>
    <row r="17" ht="14.25" customHeight="1">
      <c r="B17" s="27" t="s">
        <v>44</v>
      </c>
      <c r="C17" s="28"/>
      <c r="D17" s="29">
        <f t="shared" ref="D17:E17" si="2">SUM(D6:D16)</f>
        <v>11000</v>
      </c>
      <c r="E17" s="29">
        <f t="shared" si="2"/>
        <v>11000</v>
      </c>
      <c r="F17" s="29">
        <f t="shared" si="1"/>
        <v>0</v>
      </c>
      <c r="G17" s="29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3:B4"/>
    <mergeCell ref="C3:C4"/>
    <mergeCell ref="D3:F3"/>
    <mergeCell ref="G3:G4"/>
    <mergeCell ref="B17:C1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2025-07-12T07:07:51Z</dcterms:created>
  <dc:creator>Arsytania Hilvana</dc:creator>
</cp:coreProperties>
</file>