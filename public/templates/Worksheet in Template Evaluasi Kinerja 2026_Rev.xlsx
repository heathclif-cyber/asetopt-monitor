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94C6E34-5253-43EC-9818-846380B64BA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pset Cash" sheetId="1" r:id="rId1"/>
    <sheet name="Opset Cash per Proker" sheetId="2" r:id="rId2"/>
    <sheet name="Opset Pendapatan" sheetId="3" r:id="rId3"/>
    <sheet name="Opset Pendapatan per Proker" sheetId="4" r:id="rId4"/>
    <sheet name="Piutang" sheetId="5" r:id="rId5"/>
    <sheet name="Dives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6" l="1"/>
  <c r="J17" i="6"/>
  <c r="I17" i="6"/>
  <c r="H17" i="6"/>
  <c r="F17" i="6"/>
  <c r="E17" i="6"/>
  <c r="G17" i="6" s="1"/>
  <c r="K16" i="6"/>
  <c r="L16" i="6" s="1"/>
  <c r="N16" i="6" s="1"/>
  <c r="G16" i="6"/>
  <c r="K15" i="6"/>
  <c r="L15" i="6" s="1"/>
  <c r="N15" i="6" s="1"/>
  <c r="G15" i="6"/>
  <c r="K14" i="6"/>
  <c r="L14" i="6" s="1"/>
  <c r="N14" i="6" s="1"/>
  <c r="G14" i="6"/>
  <c r="K13" i="6"/>
  <c r="L13" i="6" s="1"/>
  <c r="N13" i="6" s="1"/>
  <c r="G13" i="6"/>
  <c r="K12" i="6"/>
  <c r="L12" i="6" s="1"/>
  <c r="N12" i="6" s="1"/>
  <c r="G12" i="6"/>
  <c r="K11" i="6"/>
  <c r="L11" i="6" s="1"/>
  <c r="N11" i="6" s="1"/>
  <c r="G11" i="6"/>
  <c r="K10" i="6"/>
  <c r="L10" i="6" s="1"/>
  <c r="N10" i="6" s="1"/>
  <c r="G10" i="6"/>
  <c r="K9" i="6"/>
  <c r="L9" i="6" s="1"/>
  <c r="N9" i="6" s="1"/>
  <c r="G9" i="6"/>
  <c r="K8" i="6"/>
  <c r="L8" i="6" s="1"/>
  <c r="N8" i="6" s="1"/>
  <c r="G8" i="6"/>
  <c r="K7" i="6"/>
  <c r="L7" i="6" s="1"/>
  <c r="N7" i="6" s="1"/>
  <c r="G7" i="6"/>
  <c r="K6" i="6"/>
  <c r="G6" i="6"/>
  <c r="E17" i="5"/>
  <c r="D17" i="5"/>
  <c r="F17" i="5" s="1"/>
  <c r="F16" i="5"/>
  <c r="F15" i="5"/>
  <c r="F14" i="5"/>
  <c r="F13" i="5"/>
  <c r="F12" i="5"/>
  <c r="F11" i="5"/>
  <c r="F10" i="5"/>
  <c r="F9" i="5"/>
  <c r="F8" i="5"/>
  <c r="F7" i="5"/>
  <c r="F6" i="5"/>
  <c r="N16" i="3"/>
  <c r="L16" i="3"/>
  <c r="K16" i="3"/>
  <c r="J16" i="3"/>
  <c r="I16" i="3"/>
  <c r="H16" i="3"/>
  <c r="G16" i="3"/>
  <c r="E16" i="3"/>
  <c r="D16" i="3"/>
  <c r="N15" i="3"/>
  <c r="M15" i="3"/>
  <c r="O15" i="3" s="1"/>
  <c r="L15" i="3"/>
  <c r="K15" i="3"/>
  <c r="J15" i="3"/>
  <c r="I15" i="3"/>
  <c r="H15" i="3"/>
  <c r="G15" i="3"/>
  <c r="E15" i="3"/>
  <c r="D15" i="3"/>
  <c r="F15" i="3" s="1"/>
  <c r="N14" i="3"/>
  <c r="L14" i="3"/>
  <c r="K14" i="3"/>
  <c r="J14" i="3"/>
  <c r="I14" i="3"/>
  <c r="H14" i="3"/>
  <c r="G14" i="3"/>
  <c r="E14" i="3"/>
  <c r="D14" i="3"/>
  <c r="N13" i="3"/>
  <c r="L13" i="3"/>
  <c r="K13" i="3"/>
  <c r="J13" i="3"/>
  <c r="I13" i="3"/>
  <c r="H13" i="3"/>
  <c r="G13" i="3"/>
  <c r="E13" i="3"/>
  <c r="D13" i="3"/>
  <c r="N12" i="3"/>
  <c r="L12" i="3"/>
  <c r="K12" i="3"/>
  <c r="J12" i="3"/>
  <c r="I12" i="3"/>
  <c r="H12" i="3"/>
  <c r="G12" i="3"/>
  <c r="E12" i="3"/>
  <c r="D12" i="3"/>
  <c r="N11" i="3"/>
  <c r="L11" i="3"/>
  <c r="K11" i="3"/>
  <c r="J11" i="3"/>
  <c r="I11" i="3"/>
  <c r="H11" i="3"/>
  <c r="G11" i="3"/>
  <c r="E11" i="3"/>
  <c r="D11" i="3"/>
  <c r="N10" i="3"/>
  <c r="L10" i="3"/>
  <c r="K10" i="3"/>
  <c r="J10" i="3"/>
  <c r="I10" i="3"/>
  <c r="H10" i="3"/>
  <c r="G10" i="3"/>
  <c r="E10" i="3"/>
  <c r="D10" i="3"/>
  <c r="N9" i="3"/>
  <c r="L9" i="3"/>
  <c r="K9" i="3"/>
  <c r="J9" i="3"/>
  <c r="I9" i="3"/>
  <c r="H9" i="3"/>
  <c r="G9" i="3"/>
  <c r="E9" i="3"/>
  <c r="D9" i="3"/>
  <c r="N8" i="3"/>
  <c r="L8" i="3"/>
  <c r="K8" i="3"/>
  <c r="J8" i="3"/>
  <c r="I8" i="3"/>
  <c r="H8" i="3"/>
  <c r="G8" i="3"/>
  <c r="E8" i="3"/>
  <c r="D8" i="3"/>
  <c r="N7" i="3"/>
  <c r="L7" i="3"/>
  <c r="K7" i="3"/>
  <c r="J7" i="3"/>
  <c r="I7" i="3"/>
  <c r="H7" i="3"/>
  <c r="G7" i="3"/>
  <c r="E7" i="3"/>
  <c r="D7" i="3"/>
  <c r="N6" i="3"/>
  <c r="N17" i="3" s="1"/>
  <c r="L6" i="3"/>
  <c r="L17" i="3" s="1"/>
  <c r="K6" i="3"/>
  <c r="K17" i="3" s="1"/>
  <c r="J6" i="3"/>
  <c r="J17" i="3" s="1"/>
  <c r="I6" i="3"/>
  <c r="I17" i="3" s="1"/>
  <c r="H6" i="3"/>
  <c r="H17" i="3" s="1"/>
  <c r="G6" i="3"/>
  <c r="G17" i="3" s="1"/>
  <c r="Q31" i="2"/>
  <c r="O31" i="2"/>
  <c r="N31" i="2"/>
  <c r="M31" i="2"/>
  <c r="L31" i="2"/>
  <c r="K31" i="2"/>
  <c r="J31" i="2"/>
  <c r="P30" i="2"/>
  <c r="R30" i="2" s="1"/>
  <c r="I30" i="2"/>
  <c r="P29" i="2"/>
  <c r="R29" i="2" s="1"/>
  <c r="I29" i="2"/>
  <c r="P28" i="2"/>
  <c r="R28" i="2" s="1"/>
  <c r="I28" i="2"/>
  <c r="P27" i="2"/>
  <c r="R27" i="2" s="1"/>
  <c r="I27" i="2"/>
  <c r="P26" i="2"/>
  <c r="R26" i="2" s="1"/>
  <c r="I26" i="2"/>
  <c r="H25" i="2"/>
  <c r="G25" i="2"/>
  <c r="P24" i="2"/>
  <c r="R24" i="2" s="1"/>
  <c r="I24" i="2"/>
  <c r="P23" i="2"/>
  <c r="R23" i="2" s="1"/>
  <c r="I23" i="2"/>
  <c r="P22" i="2"/>
  <c r="R22" i="2" s="1"/>
  <c r="H22" i="2"/>
  <c r="I22" i="2" s="1"/>
  <c r="G21" i="2"/>
  <c r="P20" i="2"/>
  <c r="R20" i="2" s="1"/>
  <c r="I20" i="2"/>
  <c r="H19" i="2"/>
  <c r="G19" i="2"/>
  <c r="P18" i="2"/>
  <c r="R18" i="2" s="1"/>
  <c r="I18" i="2"/>
  <c r="P17" i="2"/>
  <c r="R17" i="2" s="1"/>
  <c r="I17" i="2"/>
  <c r="P16" i="2"/>
  <c r="R16" i="2" s="1"/>
  <c r="I16" i="2"/>
  <c r="P15" i="2"/>
  <c r="R15" i="2" s="1"/>
  <c r="I15" i="2"/>
  <c r="G14" i="2"/>
  <c r="H13" i="2"/>
  <c r="G13" i="2"/>
  <c r="P12" i="2"/>
  <c r="R12" i="2" s="1"/>
  <c r="I12" i="2"/>
  <c r="P11" i="2"/>
  <c r="R11" i="2" s="1"/>
  <c r="I11" i="2"/>
  <c r="P10" i="2"/>
  <c r="R10" i="2" s="1"/>
  <c r="I10" i="2"/>
  <c r="P9" i="2"/>
  <c r="R9" i="2" s="1"/>
  <c r="H9" i="2"/>
  <c r="P8" i="2"/>
  <c r="R8" i="2" s="1"/>
  <c r="I8" i="2"/>
  <c r="P7" i="2"/>
  <c r="I7" i="2"/>
  <c r="P6" i="2"/>
  <c r="R6" i="2" s="1"/>
  <c r="I6" i="2"/>
  <c r="P5" i="2"/>
  <c r="R5" i="2" s="1"/>
  <c r="H5" i="2"/>
  <c r="I5" i="2" s="1"/>
  <c r="N16" i="1"/>
  <c r="L16" i="1"/>
  <c r="K16" i="1"/>
  <c r="J16" i="1"/>
  <c r="I16" i="1"/>
  <c r="H16" i="1"/>
  <c r="G16" i="1"/>
  <c r="E16" i="1"/>
  <c r="D16" i="1"/>
  <c r="N15" i="1"/>
  <c r="L15" i="1"/>
  <c r="K15" i="1"/>
  <c r="J15" i="1"/>
  <c r="I15" i="1"/>
  <c r="H15" i="1"/>
  <c r="G15" i="1"/>
  <c r="E15" i="1"/>
  <c r="D15" i="1"/>
  <c r="N14" i="1"/>
  <c r="L14" i="1"/>
  <c r="K14" i="1"/>
  <c r="J14" i="1"/>
  <c r="I14" i="1"/>
  <c r="H14" i="1"/>
  <c r="G14" i="1"/>
  <c r="E14" i="1"/>
  <c r="D14" i="1"/>
  <c r="N13" i="1"/>
  <c r="L13" i="1"/>
  <c r="K13" i="1"/>
  <c r="J13" i="1"/>
  <c r="I13" i="1"/>
  <c r="H13" i="1"/>
  <c r="G13" i="1"/>
  <c r="E13" i="1"/>
  <c r="D13" i="1"/>
  <c r="N12" i="1"/>
  <c r="L12" i="1"/>
  <c r="K12" i="1"/>
  <c r="J12" i="1"/>
  <c r="I12" i="1"/>
  <c r="H12" i="1"/>
  <c r="G12" i="1"/>
  <c r="E12" i="1"/>
  <c r="D12" i="1"/>
  <c r="N11" i="1"/>
  <c r="L11" i="1"/>
  <c r="K11" i="1"/>
  <c r="J11" i="1"/>
  <c r="I11" i="1"/>
  <c r="H11" i="1"/>
  <c r="G11" i="1"/>
  <c r="E11" i="1"/>
  <c r="D11" i="1"/>
  <c r="N10" i="1"/>
  <c r="M10" i="1"/>
  <c r="O10" i="1" s="1"/>
  <c r="L10" i="1"/>
  <c r="K10" i="1"/>
  <c r="J10" i="1"/>
  <c r="I10" i="1"/>
  <c r="H10" i="1"/>
  <c r="G10" i="1"/>
  <c r="F10" i="1"/>
  <c r="E10" i="1"/>
  <c r="D10" i="1"/>
  <c r="N9" i="1"/>
  <c r="L9" i="1"/>
  <c r="K9" i="1"/>
  <c r="J9" i="1"/>
  <c r="I9" i="1"/>
  <c r="H9" i="1"/>
  <c r="G9" i="1"/>
  <c r="E9" i="1"/>
  <c r="D9" i="1"/>
  <c r="N8" i="1"/>
  <c r="L8" i="1"/>
  <c r="K8" i="1"/>
  <c r="J8" i="1"/>
  <c r="I8" i="1"/>
  <c r="H8" i="1"/>
  <c r="G8" i="1"/>
  <c r="E8" i="1"/>
  <c r="D8" i="1"/>
  <c r="N7" i="1"/>
  <c r="L7" i="1"/>
  <c r="K7" i="1"/>
  <c r="J7" i="1"/>
  <c r="I7" i="1"/>
  <c r="H7" i="1"/>
  <c r="G7" i="1"/>
  <c r="E7" i="1"/>
  <c r="D7" i="1"/>
  <c r="N6" i="1"/>
  <c r="N17" i="1" s="1"/>
  <c r="L6" i="1"/>
  <c r="L17" i="1" s="1"/>
  <c r="K6" i="1"/>
  <c r="K17" i="1" s="1"/>
  <c r="J6" i="1"/>
  <c r="J17" i="1" s="1"/>
  <c r="I6" i="1"/>
  <c r="I17" i="1" s="1"/>
  <c r="H6" i="1"/>
  <c r="H17" i="1" s="1"/>
  <c r="G6" i="1"/>
  <c r="G17" i="1" s="1"/>
  <c r="E6" i="1"/>
  <c r="E17" i="1" s="1"/>
  <c r="D6" i="1"/>
  <c r="Q31" i="4"/>
  <c r="O31" i="4"/>
  <c r="N31" i="4"/>
  <c r="M31" i="4"/>
  <c r="L31" i="4"/>
  <c r="K31" i="4"/>
  <c r="J31" i="4"/>
  <c r="G30" i="4"/>
  <c r="P29" i="4"/>
  <c r="R29" i="4" s="1"/>
  <c r="I29" i="4"/>
  <c r="P28" i="4"/>
  <c r="R28" i="4" s="1"/>
  <c r="I28" i="4"/>
  <c r="P27" i="4"/>
  <c r="R27" i="4" s="1"/>
  <c r="I27" i="4"/>
  <c r="P26" i="4"/>
  <c r="R26" i="4" s="1"/>
  <c r="I26" i="4"/>
  <c r="H25" i="4"/>
  <c r="G25" i="4"/>
  <c r="P24" i="4"/>
  <c r="R24" i="4" s="1"/>
  <c r="I24" i="4"/>
  <c r="P23" i="4"/>
  <c r="R23" i="4" s="1"/>
  <c r="I23" i="4"/>
  <c r="P22" i="4"/>
  <c r="R22" i="4" s="1"/>
  <c r="H22" i="4"/>
  <c r="P21" i="4"/>
  <c r="R21" i="4" s="1"/>
  <c r="I21" i="4"/>
  <c r="P20" i="4"/>
  <c r="R20" i="4" s="1"/>
  <c r="I20" i="4"/>
  <c r="P19" i="4"/>
  <c r="R19" i="4" s="1"/>
  <c r="G19" i="4"/>
  <c r="I19" i="4" s="1"/>
  <c r="P18" i="4"/>
  <c r="R18" i="4" s="1"/>
  <c r="I18" i="4"/>
  <c r="P17" i="4"/>
  <c r="R17" i="4" s="1"/>
  <c r="I17" i="4"/>
  <c r="P16" i="4"/>
  <c r="R16" i="4" s="1"/>
  <c r="I16" i="4"/>
  <c r="P15" i="4"/>
  <c r="R15" i="4" s="1"/>
  <c r="I15" i="4"/>
  <c r="G14" i="4"/>
  <c r="H13" i="4"/>
  <c r="G13" i="4"/>
  <c r="P12" i="4"/>
  <c r="R12" i="4" s="1"/>
  <c r="I12" i="4"/>
  <c r="P11" i="4"/>
  <c r="R11" i="4" s="1"/>
  <c r="I11" i="4"/>
  <c r="P10" i="4"/>
  <c r="R10" i="4" s="1"/>
  <c r="I10" i="4"/>
  <c r="P9" i="4"/>
  <c r="R9" i="4" s="1"/>
  <c r="H9" i="4"/>
  <c r="I9" i="4" s="1"/>
  <c r="P8" i="4"/>
  <c r="R8" i="4" s="1"/>
  <c r="H8" i="4"/>
  <c r="I8" i="4" s="1"/>
  <c r="P7" i="4"/>
  <c r="R7" i="4" s="1"/>
  <c r="I7" i="4"/>
  <c r="G6" i="4"/>
  <c r="P5" i="4"/>
  <c r="R5" i="4" s="1"/>
  <c r="H5" i="4"/>
  <c r="I5" i="4" s="1"/>
  <c r="K17" i="6" l="1"/>
  <c r="L6" i="6"/>
  <c r="M16" i="3"/>
  <c r="O16" i="3" s="1"/>
  <c r="F16" i="3"/>
  <c r="M14" i="3"/>
  <c r="O14" i="3" s="1"/>
  <c r="F14" i="3"/>
  <c r="M13" i="3"/>
  <c r="O13" i="3" s="1"/>
  <c r="F13" i="3"/>
  <c r="M12" i="3"/>
  <c r="O12" i="3" s="1"/>
  <c r="F12" i="3"/>
  <c r="M11" i="3"/>
  <c r="O11" i="3" s="1"/>
  <c r="F11" i="3"/>
  <c r="M10" i="3"/>
  <c r="O10" i="3" s="1"/>
  <c r="F10" i="3"/>
  <c r="M9" i="3"/>
  <c r="O9" i="3" s="1"/>
  <c r="F9" i="3"/>
  <c r="M8" i="3"/>
  <c r="O8" i="3" s="1"/>
  <c r="F8" i="3"/>
  <c r="F7" i="3"/>
  <c r="M7" i="3"/>
  <c r="O7" i="3" s="1"/>
  <c r="P25" i="2"/>
  <c r="R25" i="2" s="1"/>
  <c r="I25" i="2"/>
  <c r="I21" i="2"/>
  <c r="P21" i="2"/>
  <c r="R21" i="2" s="1"/>
  <c r="P19" i="2"/>
  <c r="R19" i="2" s="1"/>
  <c r="I19" i="2"/>
  <c r="I14" i="2"/>
  <c r="P14" i="2"/>
  <c r="R14" i="2" s="1"/>
  <c r="P13" i="2"/>
  <c r="R13" i="2" s="1"/>
  <c r="I13" i="2"/>
  <c r="G31" i="2"/>
  <c r="I9" i="2"/>
  <c r="H31" i="2"/>
  <c r="P31" i="2"/>
  <c r="R31" i="2" s="1"/>
  <c r="R7" i="2"/>
  <c r="M16" i="1"/>
  <c r="O16" i="1" s="1"/>
  <c r="F16" i="1"/>
  <c r="M15" i="1"/>
  <c r="O15" i="1" s="1"/>
  <c r="F15" i="1"/>
  <c r="M14" i="1"/>
  <c r="O14" i="1" s="1"/>
  <c r="F14" i="1"/>
  <c r="M13" i="1"/>
  <c r="O13" i="1" s="1"/>
  <c r="F13" i="1"/>
  <c r="F12" i="1"/>
  <c r="M12" i="1"/>
  <c r="O12" i="1" s="1"/>
  <c r="F11" i="1"/>
  <c r="M11" i="1"/>
  <c r="O11" i="1" s="1"/>
  <c r="F9" i="1"/>
  <c r="M9" i="1"/>
  <c r="O9" i="1" s="1"/>
  <c r="M8" i="1"/>
  <c r="O8" i="1" s="1"/>
  <c r="F8" i="1"/>
  <c r="M7" i="1"/>
  <c r="O7" i="1" s="1"/>
  <c r="F7" i="1"/>
  <c r="M6" i="1"/>
  <c r="F6" i="1"/>
  <c r="D17" i="1"/>
  <c r="F17" i="1" s="1"/>
  <c r="I30" i="4"/>
  <c r="P30" i="4"/>
  <c r="R30" i="4" s="1"/>
  <c r="D6" i="3"/>
  <c r="P25" i="4"/>
  <c r="R25" i="4" s="1"/>
  <c r="G31" i="4"/>
  <c r="I25" i="4"/>
  <c r="E6" i="3"/>
  <c r="E17" i="3" s="1"/>
  <c r="I22" i="4"/>
  <c r="H31" i="4"/>
  <c r="I14" i="4"/>
  <c r="P14" i="4"/>
  <c r="R14" i="4" s="1"/>
  <c r="I13" i="4"/>
  <c r="P13" i="4"/>
  <c r="R13" i="4" s="1"/>
  <c r="I6" i="4"/>
  <c r="P6" i="4"/>
  <c r="L17" i="6" l="1"/>
  <c r="N17" i="6" s="1"/>
  <c r="N6" i="6"/>
  <c r="O6" i="1"/>
  <c r="M17" i="1"/>
  <c r="O17" i="1" s="1"/>
  <c r="F6" i="3"/>
  <c r="M6" i="3"/>
  <c r="D17" i="3"/>
  <c r="F17" i="3" s="1"/>
  <c r="R6" i="4"/>
  <c r="P31" i="4"/>
  <c r="R31" i="4" s="1"/>
  <c r="I31" i="2"/>
  <c r="I31" i="4"/>
  <c r="M17" i="3" l="1"/>
  <c r="O17" i="3" s="1"/>
  <c r="O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/>
    </comment>
    <comment ref="D3" authorId="0" shapeId="0" xr:uid="{00000000-0006-0000-0100-000002000000}">
      <text/>
    </comment>
    <comment ref="Q8" authorId="0" shapeId="0" xr:uid="{00000000-0006-0000-0100-000003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300-000001000000}">
      <text/>
    </comment>
    <comment ref="D3" authorId="0" shapeId="0" xr:uid="{00000000-0006-0000-0300-000002000000}">
      <text/>
    </comment>
  </commentList>
</comments>
</file>

<file path=xl/sharedStrings.xml><?xml version="1.0" encoding="utf-8"?>
<sst xmlns="http://schemas.openxmlformats.org/spreadsheetml/2006/main" count="372" uniqueCount="122">
  <si>
    <t>Dalam Rp Juta, kecuali dinyatakan lain</t>
  </si>
  <si>
    <t>No.</t>
  </si>
  <si>
    <t>Bidang Usaha</t>
  </si>
  <si>
    <t>Nama Kerja Sama (Proker)</t>
  </si>
  <si>
    <t>Lokasi</t>
  </si>
  <si>
    <t>Mitra</t>
  </si>
  <si>
    <t>s.d. September 2026</t>
  </si>
  <si>
    <t>Prognosa</t>
  </si>
  <si>
    <t>Prognosa 2026</t>
  </si>
  <si>
    <t>RKAP 2026</t>
  </si>
  <si>
    <t>% Prognosa 2026</t>
  </si>
  <si>
    <t>Realisasi</t>
  </si>
  <si>
    <t>RKAP</t>
  </si>
  <si>
    <t>%</t>
  </si>
  <si>
    <t>Okt</t>
  </si>
  <si>
    <t>Nov</t>
  </si>
  <si>
    <t>Des</t>
  </si>
  <si>
    <t>Industri Lainnya</t>
  </si>
  <si>
    <t>Aset Pabrik Gula (Non Inbreng pembentukan SGN)</t>
  </si>
  <si>
    <t>Kabupaten Takalar, Bone, Camming</t>
  </si>
  <si>
    <t>PT Sinergi Gula Nusantara</t>
  </si>
  <si>
    <t>Perkebunan</t>
  </si>
  <si>
    <t>Lahan Takalar - Gapoktan</t>
  </si>
  <si>
    <t>Kabupaten Takalar</t>
  </si>
  <si>
    <t>Koperasi Cinta Manis, Sayang Manis, Cinta Damai Sejahtera</t>
  </si>
  <si>
    <t>Pertambangan</t>
  </si>
  <si>
    <t>Lahan Tinanggea</t>
  </si>
  <si>
    <t>Kabupaten Konawe Selatan</t>
  </si>
  <si>
    <t>PT Baula Petra Buana</t>
  </si>
  <si>
    <t>Lahan Tinanggea (Jalan Tambang)</t>
  </si>
  <si>
    <t>PT Ifishdeco Tbk</t>
  </si>
  <si>
    <t>Properti</t>
  </si>
  <si>
    <t>Bangunan Jalan Boulevard Makassar</t>
  </si>
  <si>
    <t>Kota Makassar</t>
  </si>
  <si>
    <t>PT Grand Puri Indonesia</t>
  </si>
  <si>
    <t>Lahan Sidrap</t>
  </si>
  <si>
    <t>Kabupaten Sidrap</t>
  </si>
  <si>
    <t>-</t>
  </si>
  <si>
    <t>Lahan Jalan Alauddin Makassar</t>
  </si>
  <si>
    <t>Kerja Sama Agrowisata</t>
  </si>
  <si>
    <t>Lahan Kebun Marinsow</t>
  </si>
  <si>
    <t>Kabupaten Minahasa Utara</t>
  </si>
  <si>
    <t>Lahan Jalan Masjid Raya dan Jalan Kangkung Makassar</t>
  </si>
  <si>
    <t>CV Berkah Abadi Sukses</t>
  </si>
  <si>
    <t>Bangunan Jalan Slamet Riyadi Makassar</t>
  </si>
  <si>
    <t>CV Willeon Megah Perkasa</t>
  </si>
  <si>
    <t>Lahan Jalan Biru Bone</t>
  </si>
  <si>
    <t>Kabupaten Bone</t>
  </si>
  <si>
    <t>Bangunan Mess Jalan Masjid Raya Makassar</t>
  </si>
  <si>
    <t>Lahan Desa Galung</t>
  </si>
  <si>
    <t>Kabupaten Soppeng</t>
  </si>
  <si>
    <t>Lahan Jalan Kemakmuran dan Samudra Soppeng</t>
  </si>
  <si>
    <t>Bangunan Ruko Jalan Pengayoman Makassar</t>
  </si>
  <si>
    <t>Fachmy Hasri Djamil</t>
  </si>
  <si>
    <t>Bangunan Eks LO Ambon</t>
  </si>
  <si>
    <t>Kota Ambon</t>
  </si>
  <si>
    <t>Lahan Eks Pabrik Kapas Jeneponto - Mini Soccer</t>
  </si>
  <si>
    <t>Kabupaten Jeneponto</t>
  </si>
  <si>
    <t>CV Putri Jentak</t>
  </si>
  <si>
    <t>Lahan Eks Pabrik Kapas Jeneponto - Studio Foto</t>
  </si>
  <si>
    <t>CV Bididiu Visual Studio</t>
  </si>
  <si>
    <t>Lahan Eks Pabrik Kapas Jeneponto - Papan Iklan</t>
  </si>
  <si>
    <t>CV Fajar Mandiri Adv</t>
  </si>
  <si>
    <t>Bangunan Kantor Direksi - Gedung Timur</t>
  </si>
  <si>
    <t>Meilani Anriyani Kadir</t>
  </si>
  <si>
    <t>Bangunan Kantor Direksi - Kantor Pelayanan 13 Dapenbun</t>
  </si>
  <si>
    <t>Dapenbun</t>
  </si>
  <si>
    <t>Bangunan Jalan Bambapuang Makassar</t>
  </si>
  <si>
    <t>Adam Yusa Ali</t>
  </si>
  <si>
    <t>Eks Pabrik Kapas (Warung)</t>
  </si>
  <si>
    <t>Bambang</t>
  </si>
  <si>
    <t>Eks Pabrik Kapas (Cafe)</t>
  </si>
  <si>
    <t>CV Mari Bangun Turatea</t>
  </si>
  <si>
    <t>Peternakan</t>
  </si>
  <si>
    <t>Lahan Unit Kabaru</t>
  </si>
  <si>
    <t>Kabupaten Sumba Timur</t>
  </si>
  <si>
    <t>PT Asiabeef Biofarm Indonesia</t>
  </si>
  <si>
    <t>Kerja Sama PT Cahaya Lino Barokah</t>
  </si>
  <si>
    <t>PT Cahaya Lino Barokah</t>
  </si>
  <si>
    <t>TOTAL</t>
  </si>
  <si>
    <t>RKO s.d. Semester II 2026</t>
  </si>
  <si>
    <t>% Thdp RKO</t>
  </si>
  <si>
    <t>a</t>
  </si>
  <si>
    <t>b</t>
  </si>
  <si>
    <t>c</t>
  </si>
  <si>
    <t>d</t>
  </si>
  <si>
    <t>e = c/d</t>
  </si>
  <si>
    <t>f</t>
  </si>
  <si>
    <t>g</t>
  </si>
  <si>
    <t>h</t>
  </si>
  <si>
    <t>j</t>
  </si>
  <si>
    <t>k</t>
  </si>
  <si>
    <t>l</t>
  </si>
  <si>
    <t xml:space="preserve">m = c+f +..l </t>
  </si>
  <si>
    <t>l = k/j</t>
  </si>
  <si>
    <t>Hospitality</t>
  </si>
  <si>
    <t>Kesehatan</t>
  </si>
  <si>
    <t>Energy</t>
  </si>
  <si>
    <t>Kawasan Industri</t>
  </si>
  <si>
    <t>Pertanian</t>
  </si>
  <si>
    <t>RKO Semester II 2026</t>
  </si>
  <si>
    <t>Nama Mitra</t>
  </si>
  <si>
    <t>Real s.d. September 2026</t>
  </si>
  <si>
    <t>Penjelasan Selisih</t>
  </si>
  <si>
    <t>Angka Opset</t>
  </si>
  <si>
    <t>Angka SAP</t>
  </si>
  <si>
    <t>Selisih</t>
  </si>
  <si>
    <t>e = c-d</t>
  </si>
  <si>
    <t>Objek Divestasi</t>
  </si>
  <si>
    <t>Mekanisme</t>
  </si>
  <si>
    <t>s.d TW I 2026</t>
  </si>
  <si>
    <t>RKO Semester I 2026</t>
  </si>
  <si>
    <t>April</t>
  </si>
  <si>
    <t>Mei</t>
  </si>
  <si>
    <t>Juni</t>
  </si>
  <si>
    <t>TW II</t>
  </si>
  <si>
    <t>e</t>
  </si>
  <si>
    <t>f =d/e</t>
  </si>
  <si>
    <t>i</t>
  </si>
  <si>
    <t>l = d+k</t>
  </si>
  <si>
    <t>m</t>
  </si>
  <si>
    <t>n = l/m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</si>
</sst>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BA76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/>
    <xf numFmtId="9" fontId="3" fillId="0" borderId="3" xfId="0" applyNumberFormat="1" applyFont="1" applyBorder="1"/>
    <xf numFmtId="0" fontId="2" fillId="2" borderId="5" xfId="0" applyFont="1" applyFill="1" applyBorder="1" applyAlignment="1">
      <alignment horizontal="center"/>
    </xf>
    <xf numFmtId="164" fontId="2" fillId="2" borderId="5" xfId="0" applyNumberFormat="1" applyFont="1" applyFill="1" applyBorder="1"/>
    <xf numFmtId="9" fontId="2" fillId="2" borderId="5" xfId="0" applyNumberFormat="1" applyFont="1" applyFill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64" fontId="7" fillId="0" borderId="3" xfId="0" applyNumberFormat="1" applyFont="1" applyBorder="1"/>
    <xf numFmtId="9" fontId="4" fillId="0" borderId="3" xfId="0" applyNumberFormat="1" applyFont="1" applyBorder="1"/>
    <xf numFmtId="164" fontId="8" fillId="0" borderId="3" xfId="0" applyNumberFormat="1" applyFont="1" applyBorder="1"/>
    <xf numFmtId="164" fontId="4" fillId="0" borderId="3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164" fontId="7" fillId="0" borderId="6" xfId="0" applyNumberFormat="1" applyFont="1" applyBorder="1"/>
    <xf numFmtId="9" fontId="4" fillId="0" borderId="6" xfId="0" applyNumberFormat="1" applyFont="1" applyBorder="1"/>
    <xf numFmtId="164" fontId="4" fillId="0" borderId="6" xfId="0" applyNumberFormat="1" applyFont="1" applyBorder="1"/>
    <xf numFmtId="164" fontId="6" fillId="2" borderId="5" xfId="0" applyNumberFormat="1" applyFont="1" applyFill="1" applyBorder="1"/>
    <xf numFmtId="9" fontId="6" fillId="2" borderId="5" xfId="0" applyNumberFormat="1" applyFont="1" applyFill="1" applyBorder="1"/>
    <xf numFmtId="164" fontId="9" fillId="0" borderId="3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0" fillId="0" borderId="4" xfId="0" applyBorder="1"/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5" xfId="0" applyBorder="1"/>
    <xf numFmtId="0" fontId="6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showGridLines="0" zoomScale="82" zoomScaleNormal="100" workbookViewId="0">
      <selection activeCell="O17" sqref="B2:O17"/>
    </sheetView>
  </sheetViews>
  <sheetFormatPr defaultRowHeight="14.4" customHeight="1" x14ac:dyDescent="0.3"/>
  <cols>
    <col min="1" max="1" width="2.33203125" customWidth="1"/>
    <col min="2" max="2" width="4.33203125" customWidth="1"/>
    <col min="3" max="3" width="20.5546875" customWidth="1"/>
    <col min="4" max="4" width="8.21875" customWidth="1"/>
    <col min="5" max="5" width="8.109375" customWidth="1"/>
    <col min="6" max="6" width="7.6640625" customWidth="1"/>
    <col min="7" max="7" width="9.44140625" customWidth="1"/>
    <col min="8" max="9" width="11.21875" customWidth="1"/>
    <col min="10" max="11" width="11.21875" hidden="1" customWidth="1"/>
    <col min="12" max="12" width="10.109375" customWidth="1"/>
    <col min="13" max="13" width="10.5546875" customWidth="1"/>
    <col min="14" max="14" width="16.44140625" customWidth="1"/>
    <col min="15" max="15" width="11.21875" customWidth="1"/>
    <col min="16" max="16" width="11.5546875" customWidth="1"/>
  </cols>
  <sheetData>
    <row r="2" spans="2:15" ht="15" customHeight="1" x14ac:dyDescent="0.3">
      <c r="O2" s="1" t="s">
        <v>0</v>
      </c>
    </row>
    <row r="3" spans="2:15" ht="14.4" customHeight="1" x14ac:dyDescent="0.3">
      <c r="B3" s="38" t="s">
        <v>1</v>
      </c>
      <c r="C3" s="38" t="s">
        <v>2</v>
      </c>
      <c r="D3" s="38" t="s">
        <v>6</v>
      </c>
      <c r="E3" s="39"/>
      <c r="F3" s="39"/>
      <c r="G3" s="38" t="s">
        <v>7</v>
      </c>
      <c r="H3" s="39"/>
      <c r="I3" s="39"/>
      <c r="J3" s="39"/>
      <c r="K3" s="39"/>
      <c r="L3" s="39"/>
      <c r="M3" s="40" t="s">
        <v>80</v>
      </c>
      <c r="N3" s="38" t="s">
        <v>9</v>
      </c>
      <c r="O3" s="39"/>
    </row>
    <row r="4" spans="2:15" x14ac:dyDescent="0.3">
      <c r="B4" s="30"/>
      <c r="C4" s="30"/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/>
      <c r="K4" s="2"/>
      <c r="L4" s="2"/>
      <c r="M4" s="30"/>
      <c r="N4" s="2" t="s">
        <v>9</v>
      </c>
      <c r="O4" s="2" t="s">
        <v>81</v>
      </c>
    </row>
    <row r="5" spans="2:15" ht="14.4" customHeight="1" x14ac:dyDescent="0.3"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91</v>
      </c>
      <c r="L5" s="3" t="s">
        <v>92</v>
      </c>
      <c r="M5" s="4" t="s">
        <v>93</v>
      </c>
      <c r="N5" s="3" t="s">
        <v>91</v>
      </c>
      <c r="O5" s="3" t="s">
        <v>94</v>
      </c>
    </row>
    <row r="6" spans="2:15" x14ac:dyDescent="0.3">
      <c r="B6" s="5">
        <v>1</v>
      </c>
      <c r="C6" s="6" t="s">
        <v>31</v>
      </c>
      <c r="D6" s="7">
        <f>SUMIF('Opset Cash per Proker'!$C$5:$C$30,C6,'Opset Cash per Proker'!$G$5:$G$30)</f>
        <v>817.86348299999997</v>
      </c>
      <c r="E6" s="7">
        <f>SUMIF('Opset Cash per Proker'!$C$5:$C$30,C6,'Opset Cash per Proker'!$H$5:$H$30)</f>
        <v>1014.1</v>
      </c>
      <c r="F6" s="8">
        <f t="shared" ref="F6:F17" si="0">IFERROR(D6/E6,0)</f>
        <v>0.80649194655359424</v>
      </c>
      <c r="G6" s="7">
        <f>SUMIF('Opset Cash per Proker'!$C$5:$C$30,C6,'Opset Cash per Proker'!$J$5:$J$30)</f>
        <v>184.75</v>
      </c>
      <c r="H6" s="7">
        <f>SUMIF('Opset Cash per Proker'!$C$5:$C$30,C6,'Opset Cash per Proker'!$K$5:$K$30)</f>
        <v>26.51</v>
      </c>
      <c r="I6" s="7">
        <f>SUMIF('Opset Cash per Proker'!$C$5:$C$30,C6,'Opset Cash per Proker'!$L$5:$L$30)</f>
        <v>511.5</v>
      </c>
      <c r="J6" s="7">
        <f>SUMIF('Opset Cash per Proker'!$C$5:$C$30,C6,'Opset Cash per Proker'!$M$5:$M$30)</f>
        <v>0</v>
      </c>
      <c r="K6" s="7">
        <f>SUMIF('Opset Cash per Proker'!$C$5:$C$30,C6,'Opset Cash per Proker'!$N$5:$N$30)</f>
        <v>0</v>
      </c>
      <c r="L6" s="7">
        <f>SUMIF('Opset Cash per Proker'!$C$5:$C$30,C6,'Opset Cash per Proker'!$O$5:$O$30)</f>
        <v>0</v>
      </c>
      <c r="M6" s="7">
        <f t="shared" ref="M6:M16" si="1">D6+SUM(G6:L6)</f>
        <v>1540.6234829999999</v>
      </c>
      <c r="N6" s="7">
        <f>SUMIF('Opset Cash per Proker'!$C$5:$C$30,C6,'Opset Cash per Proker'!$Q$5:$Q$30)</f>
        <v>2482.9</v>
      </c>
      <c r="O6" s="8">
        <f t="shared" ref="O6:O17" si="2">IFERROR(M6/N6,0)</f>
        <v>0.62049356921341969</v>
      </c>
    </row>
    <row r="7" spans="2:15" x14ac:dyDescent="0.3">
      <c r="B7" s="5">
        <v>2</v>
      </c>
      <c r="C7" s="6" t="s">
        <v>95</v>
      </c>
      <c r="D7" s="7">
        <f>SUMIF('Opset Cash per Proker'!$C$5:$C$30,C7,'Opset Cash per Proker'!$G$5:$G$30)</f>
        <v>0</v>
      </c>
      <c r="E7" s="7">
        <f>SUMIF('Opset Cash per Proker'!$C$5:$C$30,C7,'Opset Cash per Proker'!$H$5:$H$30)</f>
        <v>0</v>
      </c>
      <c r="F7" s="8">
        <f t="shared" si="0"/>
        <v>0</v>
      </c>
      <c r="G7" s="7">
        <f>SUMIF('Opset Cash per Proker'!$C$5:$C$30,C7,'Opset Cash per Proker'!$J$5:$J$30)</f>
        <v>0</v>
      </c>
      <c r="H7" s="7">
        <f>SUMIF('Opset Cash per Proker'!$C$5:$C$30,C7,'Opset Cash per Proker'!$K$5:$K$30)</f>
        <v>0</v>
      </c>
      <c r="I7" s="7">
        <f>SUMIF('Opset Cash per Proker'!$C$5:$C$30,C7,'Opset Cash per Proker'!$L$5:$L$30)</f>
        <v>0</v>
      </c>
      <c r="J7" s="7">
        <f>SUMIF('Opset Cash per Proker'!$C$5:$C$30,C7,'Opset Cash per Proker'!$M$5:$M$30)</f>
        <v>0</v>
      </c>
      <c r="K7" s="7">
        <f>SUMIF('Opset Cash per Proker'!$C$5:$C$30,C7,'Opset Cash per Proker'!$N$5:$N$30)</f>
        <v>0</v>
      </c>
      <c r="L7" s="7">
        <f>SUMIF('Opset Cash per Proker'!$C$5:$C$30,C7,'Opset Cash per Proker'!$O$5:$O$30)</f>
        <v>0</v>
      </c>
      <c r="M7" s="7">
        <f t="shared" si="1"/>
        <v>0</v>
      </c>
      <c r="N7" s="7">
        <f>SUMIF('Opset Cash per Proker'!$C$5:$C$30,C7,'Opset Cash per Proker'!$Q$5:$Q$30)</f>
        <v>0</v>
      </c>
      <c r="O7" s="8">
        <f t="shared" si="2"/>
        <v>0</v>
      </c>
    </row>
    <row r="8" spans="2:15" x14ac:dyDescent="0.3">
      <c r="B8" s="5">
        <v>3</v>
      </c>
      <c r="C8" s="6" t="s">
        <v>96</v>
      </c>
      <c r="D8" s="7">
        <f>SUMIF('Opset Cash per Proker'!$C$5:$C$30,C8,'Opset Cash per Proker'!$G$5:$G$30)</f>
        <v>0</v>
      </c>
      <c r="E8" s="7">
        <f>SUMIF('Opset Cash per Proker'!$C$5:$C$30,C8,'Opset Cash per Proker'!$H$5:$H$30)</f>
        <v>0</v>
      </c>
      <c r="F8" s="8">
        <f t="shared" si="0"/>
        <v>0</v>
      </c>
      <c r="G8" s="7">
        <f>SUMIF('Opset Cash per Proker'!$C$5:$C$30,C8,'Opset Cash per Proker'!$J$5:$J$30)</f>
        <v>0</v>
      </c>
      <c r="H8" s="7">
        <f>SUMIF('Opset Cash per Proker'!$C$5:$C$30,C8,'Opset Cash per Proker'!$K$5:$K$30)</f>
        <v>0</v>
      </c>
      <c r="I8" s="7">
        <f>SUMIF('Opset Cash per Proker'!$C$5:$C$30,C8,'Opset Cash per Proker'!$L$5:$L$30)</f>
        <v>0</v>
      </c>
      <c r="J8" s="7">
        <f>SUMIF('Opset Cash per Proker'!$C$5:$C$30,C8,'Opset Cash per Proker'!$M$5:$M$30)</f>
        <v>0</v>
      </c>
      <c r="K8" s="7">
        <f>SUMIF('Opset Cash per Proker'!$C$5:$C$30,C8,'Opset Cash per Proker'!$N$5:$N$30)</f>
        <v>0</v>
      </c>
      <c r="L8" s="7">
        <f>SUMIF('Opset Cash per Proker'!$C$5:$C$30,C8,'Opset Cash per Proker'!$O$5:$O$30)</f>
        <v>0</v>
      </c>
      <c r="M8" s="7">
        <f t="shared" si="1"/>
        <v>0</v>
      </c>
      <c r="N8" s="7">
        <f>SUMIF('Opset Cash per Proker'!$C$5:$C$30,C8,'Opset Cash per Proker'!$Q$5:$Q$30)</f>
        <v>0</v>
      </c>
      <c r="O8" s="8">
        <f t="shared" si="2"/>
        <v>0</v>
      </c>
    </row>
    <row r="9" spans="2:15" x14ac:dyDescent="0.3">
      <c r="B9" s="5">
        <v>4</v>
      </c>
      <c r="C9" s="6" t="s">
        <v>25</v>
      </c>
      <c r="D9" s="7">
        <f>SUMIF('Opset Cash per Proker'!$C$5:$C$30,C9,'Opset Cash per Proker'!$G$5:$G$30)</f>
        <v>0</v>
      </c>
      <c r="E9" s="7">
        <f>SUMIF('Opset Cash per Proker'!$C$5:$C$30,C9,'Opset Cash per Proker'!$H$5:$H$30)</f>
        <v>0</v>
      </c>
      <c r="F9" s="8">
        <f t="shared" si="0"/>
        <v>0</v>
      </c>
      <c r="G9" s="7">
        <f>SUMIF('Opset Cash per Proker'!$C$5:$C$30,C9,'Opset Cash per Proker'!$J$5:$J$30)</f>
        <v>0</v>
      </c>
      <c r="H9" s="7">
        <f>SUMIF('Opset Cash per Proker'!$C$5:$C$30,C9,'Opset Cash per Proker'!$K$5:$K$30)</f>
        <v>0</v>
      </c>
      <c r="I9" s="7">
        <f>SUMIF('Opset Cash per Proker'!$C$5:$C$30,C9,'Opset Cash per Proker'!$L$5:$L$30)</f>
        <v>0</v>
      </c>
      <c r="J9" s="7">
        <f>SUMIF('Opset Cash per Proker'!$C$5:$C$30,C9,'Opset Cash per Proker'!$M$5:$M$30)</f>
        <v>0</v>
      </c>
      <c r="K9" s="7">
        <f>SUMIF('Opset Cash per Proker'!$C$5:$C$30,C9,'Opset Cash per Proker'!$N$5:$N$30)</f>
        <v>0</v>
      </c>
      <c r="L9" s="7">
        <f>SUMIF('Opset Cash per Proker'!$C$5:$C$30,C9,'Opset Cash per Proker'!$O$5:$O$30)</f>
        <v>0</v>
      </c>
      <c r="M9" s="7">
        <f t="shared" si="1"/>
        <v>0</v>
      </c>
      <c r="N9" s="7">
        <f>SUMIF('Opset Cash per Proker'!$C$5:$C$30,C9,'Opset Cash per Proker'!$Q$5:$Q$30)</f>
        <v>406</v>
      </c>
      <c r="O9" s="8">
        <f t="shared" si="2"/>
        <v>0</v>
      </c>
    </row>
    <row r="10" spans="2:15" x14ac:dyDescent="0.3">
      <c r="B10" s="5">
        <v>5</v>
      </c>
      <c r="C10" s="6" t="s">
        <v>97</v>
      </c>
      <c r="D10" s="7">
        <f>SUMIF('Opset Cash per Proker'!$C$5:$C$30,C10,'Opset Cash per Proker'!$G$5:$G$30)</f>
        <v>0</v>
      </c>
      <c r="E10" s="7">
        <f>SUMIF('Opset Cash per Proker'!$C$5:$C$30,C10,'Opset Cash per Proker'!$H$5:$H$30)</f>
        <v>0</v>
      </c>
      <c r="F10" s="8">
        <f t="shared" si="0"/>
        <v>0</v>
      </c>
      <c r="G10" s="7">
        <f>SUMIF('Opset Cash per Proker'!$C$5:$C$30,C10,'Opset Cash per Proker'!$J$5:$J$30)</f>
        <v>0</v>
      </c>
      <c r="H10" s="7">
        <f>SUMIF('Opset Cash per Proker'!$C$5:$C$30,C10,'Opset Cash per Proker'!$K$5:$K$30)</f>
        <v>0</v>
      </c>
      <c r="I10" s="7">
        <f>SUMIF('Opset Cash per Proker'!$C$5:$C$30,C10,'Opset Cash per Proker'!$L$5:$L$30)</f>
        <v>0</v>
      </c>
      <c r="J10" s="7">
        <f>SUMIF('Opset Cash per Proker'!$C$5:$C$30,C10,'Opset Cash per Proker'!$M$5:$M$30)</f>
        <v>0</v>
      </c>
      <c r="K10" s="7">
        <f>SUMIF('Opset Cash per Proker'!$C$5:$C$30,C10,'Opset Cash per Proker'!$N$5:$N$30)</f>
        <v>0</v>
      </c>
      <c r="L10" s="7">
        <f>SUMIF('Opset Cash per Proker'!$C$5:$C$30,C10,'Opset Cash per Proker'!$O$5:$O$30)</f>
        <v>0</v>
      </c>
      <c r="M10" s="7">
        <f t="shared" si="1"/>
        <v>0</v>
      </c>
      <c r="N10" s="7">
        <f>SUMIF('Opset Cash per Proker'!$C$5:$C$30,C10,'Opset Cash per Proker'!$Q$5:$Q$30)</f>
        <v>0</v>
      </c>
      <c r="O10" s="8">
        <f t="shared" si="2"/>
        <v>0</v>
      </c>
    </row>
    <row r="11" spans="2:15" x14ac:dyDescent="0.3">
      <c r="B11" s="5">
        <v>6</v>
      </c>
      <c r="C11" s="6" t="s">
        <v>98</v>
      </c>
      <c r="D11" s="7">
        <f>SUMIF('Opset Cash per Proker'!$C$5:$C$30,C11,'Opset Cash per Proker'!$G$5:$G$30)</f>
        <v>0</v>
      </c>
      <c r="E11" s="7">
        <f>SUMIF('Opset Cash per Proker'!$C$5:$C$30,C11,'Opset Cash per Proker'!$H$5:$H$30)</f>
        <v>0</v>
      </c>
      <c r="F11" s="8">
        <f t="shared" si="0"/>
        <v>0</v>
      </c>
      <c r="G11" s="7">
        <f>SUMIF('Opset Cash per Proker'!$C$5:$C$30,C11,'Opset Cash per Proker'!$J$5:$J$30)</f>
        <v>0</v>
      </c>
      <c r="H11" s="7">
        <f>SUMIF('Opset Cash per Proker'!$C$5:$C$30,C11,'Opset Cash per Proker'!$K$5:$K$30)</f>
        <v>0</v>
      </c>
      <c r="I11" s="7">
        <f>SUMIF('Opset Cash per Proker'!$C$5:$C$30,C11,'Opset Cash per Proker'!$L$5:$L$30)</f>
        <v>0</v>
      </c>
      <c r="J11" s="7">
        <f>SUMIF('Opset Cash per Proker'!$C$5:$C$30,C11,'Opset Cash per Proker'!$M$5:$M$30)</f>
        <v>0</v>
      </c>
      <c r="K11" s="7">
        <f>SUMIF('Opset Cash per Proker'!$C$5:$C$30,C11,'Opset Cash per Proker'!$N$5:$N$30)</f>
        <v>0</v>
      </c>
      <c r="L11" s="7">
        <f>SUMIF('Opset Cash per Proker'!$C$5:$C$30,C11,'Opset Cash per Proker'!$O$5:$O$30)</f>
        <v>0</v>
      </c>
      <c r="M11" s="7">
        <f t="shared" si="1"/>
        <v>0</v>
      </c>
      <c r="N11" s="7">
        <f>SUMIF('Opset Cash per Proker'!$C$5:$C$30,C11,'Opset Cash per Proker'!$Q$5:$Q$30)</f>
        <v>0</v>
      </c>
      <c r="O11" s="8">
        <f t="shared" si="2"/>
        <v>0</v>
      </c>
    </row>
    <row r="12" spans="2:15" x14ac:dyDescent="0.3">
      <c r="B12" s="5">
        <v>7</v>
      </c>
      <c r="C12" s="6" t="s">
        <v>73</v>
      </c>
      <c r="D12" s="7">
        <f>SUMIF('Opset Cash per Proker'!$C$5:$C$30,C12,'Opset Cash per Proker'!$G$5:$G$30)</f>
        <v>0</v>
      </c>
      <c r="E12" s="7">
        <f>SUMIF('Opset Cash per Proker'!$C$5:$C$30,C12,'Opset Cash per Proker'!$H$5:$H$30)</f>
        <v>0</v>
      </c>
      <c r="F12" s="8">
        <f t="shared" si="0"/>
        <v>0</v>
      </c>
      <c r="G12" s="7">
        <f>SUMIF('Opset Cash per Proker'!$C$5:$C$30,C12,'Opset Cash per Proker'!$J$5:$J$30)</f>
        <v>0</v>
      </c>
      <c r="H12" s="7">
        <f>SUMIF('Opset Cash per Proker'!$C$5:$C$30,C12,'Opset Cash per Proker'!$K$5:$K$30)</f>
        <v>0</v>
      </c>
      <c r="I12" s="7">
        <f>SUMIF('Opset Cash per Proker'!$C$5:$C$30,C12,'Opset Cash per Proker'!$L$5:$L$30)</f>
        <v>0</v>
      </c>
      <c r="J12" s="7">
        <f>SUMIF('Opset Cash per Proker'!$C$5:$C$30,C12,'Opset Cash per Proker'!$M$5:$M$30)</f>
        <v>0</v>
      </c>
      <c r="K12" s="7">
        <f>SUMIF('Opset Cash per Proker'!$C$5:$C$30,C12,'Opset Cash per Proker'!$N$5:$N$30)</f>
        <v>0</v>
      </c>
      <c r="L12" s="7">
        <f>SUMIF('Opset Cash per Proker'!$C$5:$C$30,C12,'Opset Cash per Proker'!$O$5:$O$30)</f>
        <v>0</v>
      </c>
      <c r="M12" s="7">
        <f t="shared" si="1"/>
        <v>0</v>
      </c>
      <c r="N12" s="7">
        <f>SUMIF('Opset Cash per Proker'!$C$5:$C$30,C12,'Opset Cash per Proker'!$Q$5:$Q$30)</f>
        <v>259.09100000000001</v>
      </c>
      <c r="O12" s="8">
        <f t="shared" si="2"/>
        <v>0</v>
      </c>
    </row>
    <row r="13" spans="2:15" x14ac:dyDescent="0.3">
      <c r="B13" s="5">
        <v>8</v>
      </c>
      <c r="C13" s="6" t="s">
        <v>99</v>
      </c>
      <c r="D13" s="7">
        <f>SUMIF('Opset Cash per Proker'!$C$5:$C$30,C13,'Opset Cash per Proker'!$G$5:$G$30)</f>
        <v>0</v>
      </c>
      <c r="E13" s="7">
        <f>SUMIF('Opset Cash per Proker'!$C$5:$C$30,C13,'Opset Cash per Proker'!$H$5:$H$30)</f>
        <v>0</v>
      </c>
      <c r="F13" s="8">
        <f t="shared" si="0"/>
        <v>0</v>
      </c>
      <c r="G13" s="7">
        <f>SUMIF('Opset Cash per Proker'!$C$5:$C$30,C13,'Opset Cash per Proker'!$J$5:$J$30)</f>
        <v>0</v>
      </c>
      <c r="H13" s="7">
        <f>SUMIF('Opset Cash per Proker'!$C$5:$C$30,C13,'Opset Cash per Proker'!$K$5:$K$30)</f>
        <v>0</v>
      </c>
      <c r="I13" s="7">
        <f>SUMIF('Opset Cash per Proker'!$C$5:$C$30,C13,'Opset Cash per Proker'!$L$5:$L$30)</f>
        <v>0</v>
      </c>
      <c r="J13" s="7">
        <f>SUMIF('Opset Cash per Proker'!$C$5:$C$30,C13,'Opset Cash per Proker'!$M$5:$M$30)</f>
        <v>0</v>
      </c>
      <c r="K13" s="7">
        <f>SUMIF('Opset Cash per Proker'!$C$5:$C$30,C13,'Opset Cash per Proker'!$N$5:$N$30)</f>
        <v>0</v>
      </c>
      <c r="L13" s="7">
        <f>SUMIF('Opset Cash per Proker'!$C$5:$C$30,C13,'Opset Cash per Proker'!$O$5:$O$30)</f>
        <v>0</v>
      </c>
      <c r="M13" s="7">
        <f t="shared" si="1"/>
        <v>0</v>
      </c>
      <c r="N13" s="7">
        <f>SUMIF('Opset Cash per Proker'!$C$5:$C$30,C13,'Opset Cash per Proker'!$Q$5:$Q$30)</f>
        <v>0</v>
      </c>
      <c r="O13" s="8">
        <f t="shared" si="2"/>
        <v>0</v>
      </c>
    </row>
    <row r="14" spans="2:15" x14ac:dyDescent="0.3">
      <c r="B14" s="5">
        <v>9</v>
      </c>
      <c r="C14" s="6" t="s">
        <v>21</v>
      </c>
      <c r="D14" s="7">
        <f>SUMIF('Opset Cash per Proker'!$C$5:$C$30,C14,'Opset Cash per Proker'!$G$5:$G$30)</f>
        <v>3553.82</v>
      </c>
      <c r="E14" s="7">
        <f>SUMIF('Opset Cash per Proker'!$C$5:$C$30,C14,'Opset Cash per Proker'!$H$5:$H$30)</f>
        <v>0</v>
      </c>
      <c r="F14" s="8">
        <f t="shared" si="0"/>
        <v>0</v>
      </c>
      <c r="G14" s="7">
        <f>SUMIF('Opset Cash per Proker'!$C$5:$C$30,C14,'Opset Cash per Proker'!$J$5:$J$30)</f>
        <v>0</v>
      </c>
      <c r="H14" s="7">
        <f>SUMIF('Opset Cash per Proker'!$C$5:$C$30,C14,'Opset Cash per Proker'!$K$5:$K$30)</f>
        <v>0</v>
      </c>
      <c r="I14" s="7">
        <f>SUMIF('Opset Cash per Proker'!$C$5:$C$30,C14,'Opset Cash per Proker'!$L$5:$L$30)</f>
        <v>1500</v>
      </c>
      <c r="J14" s="7">
        <f>SUMIF('Opset Cash per Proker'!$C$5:$C$30,C14,'Opset Cash per Proker'!$M$5:$M$30)</f>
        <v>0</v>
      </c>
      <c r="K14" s="7">
        <f>SUMIF('Opset Cash per Proker'!$C$5:$C$30,C14,'Opset Cash per Proker'!$N$5:$N$30)</f>
        <v>0</v>
      </c>
      <c r="L14" s="7">
        <f>SUMIF('Opset Cash per Proker'!$C$5:$C$30,C14,'Opset Cash per Proker'!$O$5:$O$30)</f>
        <v>0</v>
      </c>
      <c r="M14" s="7">
        <f t="shared" si="1"/>
        <v>5053.82</v>
      </c>
      <c r="N14" s="7">
        <f>SUMIF('Opset Cash per Proker'!$C$5:$C$30,C14,'Opset Cash per Proker'!$Q$5:$Q$30)</f>
        <v>900</v>
      </c>
      <c r="O14" s="8">
        <f t="shared" si="2"/>
        <v>5.6153555555555554</v>
      </c>
    </row>
    <row r="15" spans="2:15" x14ac:dyDescent="0.3">
      <c r="B15" s="5">
        <v>10</v>
      </c>
      <c r="C15" s="6" t="s">
        <v>17</v>
      </c>
      <c r="D15" s="7">
        <f>SUMIF('Opset Cash per Proker'!$C$5:$C$30,C15,'Opset Cash per Proker'!$G$5:$G$30)</f>
        <v>0</v>
      </c>
      <c r="E15" s="7">
        <f>SUMIF('Opset Cash per Proker'!$C$5:$C$30,C15,'Opset Cash per Proker'!$H$5:$H$30)</f>
        <v>4523.1444039999997</v>
      </c>
      <c r="F15" s="8">
        <f t="shared" si="0"/>
        <v>0</v>
      </c>
      <c r="G15" s="7">
        <f>SUMIF('Opset Cash per Proker'!$C$5:$C$30,C15,'Opset Cash per Proker'!$J$5:$J$30)</f>
        <v>0</v>
      </c>
      <c r="H15" s="7">
        <f>SUMIF('Opset Cash per Proker'!$C$5:$C$30,C15,'Opset Cash per Proker'!$K$5:$K$30)</f>
        <v>0</v>
      </c>
      <c r="I15" s="7">
        <f>SUMIF('Opset Cash per Proker'!$C$5:$C$30,C15,'Opset Cash per Proker'!$L$5:$L$30)</f>
        <v>3874</v>
      </c>
      <c r="J15" s="7">
        <f>SUMIF('Opset Cash per Proker'!$C$5:$C$30,C15,'Opset Cash per Proker'!$M$5:$M$30)</f>
        <v>0</v>
      </c>
      <c r="K15" s="7">
        <f>SUMIF('Opset Cash per Proker'!$C$5:$C$30,C15,'Opset Cash per Proker'!$N$5:$N$30)</f>
        <v>0</v>
      </c>
      <c r="L15" s="7">
        <f>SUMIF('Opset Cash per Proker'!$C$5:$C$30,C15,'Opset Cash per Proker'!$O$5:$O$30)</f>
        <v>0</v>
      </c>
      <c r="M15" s="7">
        <f t="shared" si="1"/>
        <v>3874</v>
      </c>
      <c r="N15" s="7">
        <f>SUMIF('Opset Cash per Proker'!$C$5:$C$30,C15,'Opset Cash per Proker'!$Q$5:$Q$30)</f>
        <v>4523.1440000000002</v>
      </c>
      <c r="O15" s="8">
        <f t="shared" si="2"/>
        <v>0.85648389704152683</v>
      </c>
    </row>
    <row r="16" spans="2:15" x14ac:dyDescent="0.3">
      <c r="B16" s="5">
        <v>11</v>
      </c>
      <c r="C16" s="6" t="s">
        <v>39</v>
      </c>
      <c r="D16" s="7">
        <f>SUMIF('Opset Cash per Proker'!$C$5:$C$30,C16,'Opset Cash per Proker'!$G$5:$G$30)</f>
        <v>0</v>
      </c>
      <c r="E16" s="7">
        <f>SUMIF('Opset Cash per Proker'!$C$5:$C$30,C16,'Opset Cash per Proker'!$H$5:$H$30)</f>
        <v>0</v>
      </c>
      <c r="F16" s="8">
        <f t="shared" si="0"/>
        <v>0</v>
      </c>
      <c r="G16" s="7">
        <f>SUMIF('Opset Cash per Proker'!$C$5:$C$30,C16,'Opset Cash per Proker'!$J$5:$J$30)</f>
        <v>0</v>
      </c>
      <c r="H16" s="7">
        <f>SUMIF('Opset Cash per Proker'!$C$5:$C$30,C16,'Opset Cash per Proker'!$K$5:$K$30)</f>
        <v>0</v>
      </c>
      <c r="I16" s="7">
        <f>SUMIF('Opset Cash per Proker'!$C$5:$C$30,C16,'Opset Cash per Proker'!$L$5:$L$30)</f>
        <v>0</v>
      </c>
      <c r="J16" s="7">
        <f>SUMIF('Opset Cash per Proker'!$C$5:$C$30,C16,'Opset Cash per Proker'!$M$5:$M$30)</f>
        <v>0</v>
      </c>
      <c r="K16" s="7">
        <f>SUMIF('Opset Cash per Proker'!$C$5:$C$30,C16,'Opset Cash per Proker'!$N$5:$N$30)</f>
        <v>0</v>
      </c>
      <c r="L16" s="7">
        <f>SUMIF('Opset Cash per Proker'!$C$5:$C$30,C16,'Opset Cash per Proker'!$O$5:$O$30)</f>
        <v>0</v>
      </c>
      <c r="M16" s="7">
        <f t="shared" si="1"/>
        <v>0</v>
      </c>
      <c r="N16" s="7">
        <f>SUMIF('Opset Cash per Proker'!$C$5:$C$30,C16,'Opset Cash per Proker'!$Q$5:$Q$30)</f>
        <v>275</v>
      </c>
      <c r="O16" s="8">
        <f t="shared" si="2"/>
        <v>0</v>
      </c>
    </row>
    <row r="17" spans="2:15" ht="15" customHeight="1" x14ac:dyDescent="0.3">
      <c r="B17" s="37" t="s">
        <v>79</v>
      </c>
      <c r="C17" s="33"/>
      <c r="D17" s="10">
        <f>SUM(D6:D16)</f>
        <v>4371.6834829999998</v>
      </c>
      <c r="E17" s="10">
        <f>SUM(E6:E16)</f>
        <v>5537.244404</v>
      </c>
      <c r="F17" s="11">
        <f t="shared" si="0"/>
        <v>0.78950524196511518</v>
      </c>
      <c r="G17" s="10">
        <f t="shared" ref="G17:N17" si="3">SUM(G6:G16)</f>
        <v>184.75</v>
      </c>
      <c r="H17" s="10">
        <f t="shared" si="3"/>
        <v>26.51</v>
      </c>
      <c r="I17" s="10">
        <f t="shared" si="3"/>
        <v>5885.5</v>
      </c>
      <c r="J17" s="10">
        <f t="shared" si="3"/>
        <v>0</v>
      </c>
      <c r="K17" s="10">
        <f t="shared" si="3"/>
        <v>0</v>
      </c>
      <c r="L17" s="10">
        <f t="shared" si="3"/>
        <v>0</v>
      </c>
      <c r="M17" s="10">
        <f t="shared" si="3"/>
        <v>10468.443482999999</v>
      </c>
      <c r="N17" s="10">
        <f t="shared" si="3"/>
        <v>8846.1350000000002</v>
      </c>
      <c r="O17" s="11">
        <f t="shared" si="2"/>
        <v>1.1833917844346711</v>
      </c>
    </row>
  </sheetData>
  <mergeCells count="7">
    <mergeCell ref="B17:C17"/>
    <mergeCell ref="N3:O3"/>
    <mergeCell ref="C3:C4"/>
    <mergeCell ref="B3:B4"/>
    <mergeCell ref="M3:M4"/>
    <mergeCell ref="G3:L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zoomScale="93" zoomScaleNormal="83" workbookViewId="0">
      <pane ySplit="4" topLeftCell="A5" activePane="bottomLeft" state="frozen"/>
      <selection pane="bottomLeft" activeCell="R30" sqref="B2:R30"/>
    </sheetView>
  </sheetViews>
  <sheetFormatPr defaultRowHeight="14.4" customHeight="1" x14ac:dyDescent="0.3"/>
  <cols>
    <col min="2" max="2" width="6.44140625" customWidth="1"/>
    <col min="3" max="3" width="20.5546875" customWidth="1"/>
    <col min="4" max="4" width="48.109375" customWidth="1"/>
    <col min="5" max="5" width="27.77734375" hidden="1" customWidth="1"/>
    <col min="6" max="6" width="23.21875" customWidth="1"/>
    <col min="7" max="7" width="8.5546875" customWidth="1"/>
    <col min="8" max="8" width="5.5546875" customWidth="1"/>
    <col min="9" max="9" width="7.21875" customWidth="1"/>
    <col min="10" max="10" width="6.44140625" customWidth="1"/>
    <col min="11" max="11" width="5.6640625" customWidth="1"/>
    <col min="12" max="12" width="8.5546875" customWidth="1"/>
    <col min="13" max="13" width="5.109375" hidden="1" customWidth="1"/>
    <col min="14" max="14" width="5" hidden="1" customWidth="1"/>
    <col min="15" max="15" width="6.88671875" customWidth="1"/>
    <col min="16" max="16" width="11.33203125" customWidth="1"/>
    <col min="17" max="17" width="13.88671875" customWidth="1"/>
    <col min="18" max="18" width="12.6640625" customWidth="1"/>
  </cols>
  <sheetData>
    <row r="1" spans="1:18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 t="s">
        <v>0</v>
      </c>
    </row>
    <row r="3" spans="1:18" x14ac:dyDescent="0.3">
      <c r="A3" s="12"/>
      <c r="B3" s="31" t="s">
        <v>1</v>
      </c>
      <c r="C3" s="34" t="s">
        <v>2</v>
      </c>
      <c r="D3" s="31" t="s">
        <v>3</v>
      </c>
      <c r="E3" s="31" t="s">
        <v>4</v>
      </c>
      <c r="F3" s="31" t="s">
        <v>5</v>
      </c>
      <c r="G3" s="34" t="s">
        <v>6</v>
      </c>
      <c r="H3" s="35"/>
      <c r="I3" s="35"/>
      <c r="J3" s="34" t="s">
        <v>7</v>
      </c>
      <c r="K3" s="35"/>
      <c r="L3" s="35"/>
      <c r="M3" s="35"/>
      <c r="N3" s="35"/>
      <c r="O3" s="35"/>
      <c r="P3" s="29" t="s">
        <v>8</v>
      </c>
      <c r="Q3" s="31" t="s">
        <v>9</v>
      </c>
      <c r="R3" s="29" t="s">
        <v>10</v>
      </c>
    </row>
    <row r="4" spans="1:18" x14ac:dyDescent="0.3">
      <c r="A4" s="12"/>
      <c r="B4" s="30"/>
      <c r="C4" s="36"/>
      <c r="D4" s="30"/>
      <c r="E4" s="30"/>
      <c r="F4" s="30"/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/>
      <c r="N4" s="14"/>
      <c r="O4" s="14"/>
      <c r="P4" s="30"/>
      <c r="Q4" s="30"/>
      <c r="R4" s="30"/>
    </row>
    <row r="5" spans="1:18" x14ac:dyDescent="0.3">
      <c r="A5" s="12"/>
      <c r="B5" s="15">
        <v>1</v>
      </c>
      <c r="C5" s="15" t="s">
        <v>17</v>
      </c>
      <c r="D5" s="16" t="s">
        <v>18</v>
      </c>
      <c r="E5" s="16" t="s">
        <v>19</v>
      </c>
      <c r="F5" s="16" t="s">
        <v>20</v>
      </c>
      <c r="G5" s="17">
        <v>0</v>
      </c>
      <c r="H5" s="17">
        <f>0+4523.144404</f>
        <v>4523.1444039999997</v>
      </c>
      <c r="I5" s="18">
        <f t="shared" ref="I5:I31" si="0">IFERROR(G5/H5,0)</f>
        <v>0</v>
      </c>
      <c r="J5" s="17">
        <v>0</v>
      </c>
      <c r="K5" s="17">
        <v>0</v>
      </c>
      <c r="L5" s="17">
        <v>3874</v>
      </c>
      <c r="M5" s="17">
        <v>0</v>
      </c>
      <c r="N5" s="17">
        <v>0</v>
      </c>
      <c r="O5" s="19">
        <v>0</v>
      </c>
      <c r="P5" s="20">
        <f t="shared" ref="P5:P30" si="1">G5+SUM(J5:O5)</f>
        <v>3874</v>
      </c>
      <c r="Q5" s="17">
        <v>4523.1440000000002</v>
      </c>
      <c r="R5" s="18">
        <f t="shared" ref="R5:R31" si="2">IFERROR(P5/Q5,0)</f>
        <v>0.85648389704152683</v>
      </c>
    </row>
    <row r="6" spans="1:18" x14ac:dyDescent="0.3">
      <c r="A6" s="12"/>
      <c r="B6" s="15">
        <v>2</v>
      </c>
      <c r="C6" s="15" t="s">
        <v>21</v>
      </c>
      <c r="D6" s="16" t="s">
        <v>22</v>
      </c>
      <c r="E6" s="16" t="s">
        <v>23</v>
      </c>
      <c r="F6" s="16" t="s">
        <v>24</v>
      </c>
      <c r="G6" s="17">
        <v>3553.82</v>
      </c>
      <c r="H6" s="17">
        <v>0</v>
      </c>
      <c r="I6" s="18">
        <f t="shared" si="0"/>
        <v>0</v>
      </c>
      <c r="J6" s="17">
        <v>0</v>
      </c>
      <c r="K6" s="17">
        <v>0</v>
      </c>
      <c r="L6" s="17">
        <v>1500</v>
      </c>
      <c r="M6" s="17">
        <v>0</v>
      </c>
      <c r="N6" s="17">
        <v>0</v>
      </c>
      <c r="O6" s="17">
        <v>0</v>
      </c>
      <c r="P6" s="20">
        <f t="shared" si="1"/>
        <v>5053.82</v>
      </c>
      <c r="Q6" s="17">
        <v>600</v>
      </c>
      <c r="R6" s="18">
        <f t="shared" si="2"/>
        <v>8.4230333333333327</v>
      </c>
    </row>
    <row r="7" spans="1:18" x14ac:dyDescent="0.3">
      <c r="A7" s="12"/>
      <c r="B7" s="15">
        <v>3</v>
      </c>
      <c r="C7" s="15" t="s">
        <v>25</v>
      </c>
      <c r="D7" s="16" t="s">
        <v>26</v>
      </c>
      <c r="E7" s="16" t="s">
        <v>27</v>
      </c>
      <c r="F7" s="16" t="s">
        <v>28</v>
      </c>
      <c r="G7" s="17">
        <v>0</v>
      </c>
      <c r="H7" s="17">
        <v>0</v>
      </c>
      <c r="I7" s="18">
        <f t="shared" si="0"/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20">
        <f t="shared" si="1"/>
        <v>0</v>
      </c>
      <c r="Q7" s="17">
        <v>406</v>
      </c>
      <c r="R7" s="18">
        <f t="shared" si="2"/>
        <v>0</v>
      </c>
    </row>
    <row r="8" spans="1:18" x14ac:dyDescent="0.3">
      <c r="A8" s="12"/>
      <c r="B8" s="15">
        <v>4</v>
      </c>
      <c r="C8" s="15" t="s">
        <v>25</v>
      </c>
      <c r="D8" s="16" t="s">
        <v>29</v>
      </c>
      <c r="E8" s="16" t="s">
        <v>27</v>
      </c>
      <c r="F8" s="16" t="s">
        <v>30</v>
      </c>
      <c r="G8" s="17">
        <v>0</v>
      </c>
      <c r="H8" s="17">
        <v>0</v>
      </c>
      <c r="I8" s="18">
        <f t="shared" si="0"/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20">
        <f t="shared" si="1"/>
        <v>0</v>
      </c>
      <c r="Q8" s="17">
        <v>0</v>
      </c>
      <c r="R8" s="18">
        <f t="shared" si="2"/>
        <v>0</v>
      </c>
    </row>
    <row r="9" spans="1:18" x14ac:dyDescent="0.3">
      <c r="A9" s="12"/>
      <c r="B9" s="15">
        <v>5</v>
      </c>
      <c r="C9" s="15" t="s">
        <v>31</v>
      </c>
      <c r="D9" s="16" t="s">
        <v>32</v>
      </c>
      <c r="E9" s="16" t="s">
        <v>33</v>
      </c>
      <c r="F9" s="16" t="s">
        <v>34</v>
      </c>
      <c r="G9" s="17">
        <v>0</v>
      </c>
      <c r="H9" s="17">
        <f>0+585</f>
        <v>585</v>
      </c>
      <c r="I9" s="18">
        <f t="shared" si="0"/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20">
        <f t="shared" si="1"/>
        <v>0</v>
      </c>
      <c r="Q9" s="17">
        <v>585</v>
      </c>
      <c r="R9" s="18">
        <f t="shared" si="2"/>
        <v>0</v>
      </c>
    </row>
    <row r="10" spans="1:18" x14ac:dyDescent="0.3">
      <c r="A10" s="12"/>
      <c r="B10" s="15">
        <v>6</v>
      </c>
      <c r="C10" s="15" t="s">
        <v>21</v>
      </c>
      <c r="D10" s="16" t="s">
        <v>35</v>
      </c>
      <c r="E10" s="16" t="s">
        <v>36</v>
      </c>
      <c r="F10" s="16" t="s">
        <v>37</v>
      </c>
      <c r="G10" s="17">
        <v>0</v>
      </c>
      <c r="H10" s="17">
        <v>0</v>
      </c>
      <c r="I10" s="18">
        <f t="shared" si="0"/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20">
        <f t="shared" si="1"/>
        <v>0</v>
      </c>
      <c r="Q10" s="17">
        <v>300</v>
      </c>
      <c r="R10" s="18">
        <f t="shared" si="2"/>
        <v>0</v>
      </c>
    </row>
    <row r="11" spans="1:18" x14ac:dyDescent="0.3">
      <c r="A11" s="12"/>
      <c r="B11" s="15">
        <v>7</v>
      </c>
      <c r="C11" s="15" t="s">
        <v>31</v>
      </c>
      <c r="D11" s="16" t="s">
        <v>38</v>
      </c>
      <c r="E11" s="16" t="s">
        <v>33</v>
      </c>
      <c r="F11" s="16" t="s">
        <v>37</v>
      </c>
      <c r="G11" s="17">
        <v>0</v>
      </c>
      <c r="H11" s="17">
        <v>0</v>
      </c>
      <c r="I11" s="18">
        <f t="shared" si="0"/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20">
        <f t="shared" si="1"/>
        <v>0</v>
      </c>
      <c r="Q11" s="17">
        <v>275</v>
      </c>
      <c r="R11" s="18">
        <f t="shared" si="2"/>
        <v>0</v>
      </c>
    </row>
    <row r="12" spans="1:18" x14ac:dyDescent="0.3">
      <c r="A12" s="12"/>
      <c r="B12" s="15">
        <v>8</v>
      </c>
      <c r="C12" s="15" t="s">
        <v>39</v>
      </c>
      <c r="D12" s="16" t="s">
        <v>40</v>
      </c>
      <c r="E12" s="16" t="s">
        <v>41</v>
      </c>
      <c r="F12" s="16" t="s">
        <v>37</v>
      </c>
      <c r="G12" s="17">
        <v>0</v>
      </c>
      <c r="H12" s="17">
        <v>0</v>
      </c>
      <c r="I12" s="18">
        <f t="shared" si="0"/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20">
        <f t="shared" si="1"/>
        <v>0</v>
      </c>
      <c r="Q12" s="17">
        <v>275</v>
      </c>
      <c r="R12" s="18">
        <f t="shared" si="2"/>
        <v>0</v>
      </c>
    </row>
    <row r="13" spans="1:18" x14ac:dyDescent="0.3">
      <c r="A13" s="12"/>
      <c r="B13" s="15">
        <v>9</v>
      </c>
      <c r="C13" s="15" t="s">
        <v>31</v>
      </c>
      <c r="D13" s="16" t="s">
        <v>42</v>
      </c>
      <c r="E13" s="16" t="s">
        <v>33</v>
      </c>
      <c r="F13" s="16" t="s">
        <v>43</v>
      </c>
      <c r="G13" s="17">
        <f>0+148.47+147</f>
        <v>295.47000000000003</v>
      </c>
      <c r="H13" s="17">
        <f>147+147</f>
        <v>294</v>
      </c>
      <c r="I13" s="18">
        <f t="shared" si="0"/>
        <v>1.0050000000000001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20">
        <f t="shared" si="1"/>
        <v>295.47000000000003</v>
      </c>
      <c r="Q13" s="17">
        <v>294</v>
      </c>
      <c r="R13" s="18">
        <f t="shared" si="2"/>
        <v>1.0050000000000001</v>
      </c>
    </row>
    <row r="14" spans="1:18" x14ac:dyDescent="0.3">
      <c r="A14" s="12"/>
      <c r="B14" s="15">
        <v>10</v>
      </c>
      <c r="C14" s="15" t="s">
        <v>31</v>
      </c>
      <c r="D14" s="16" t="s">
        <v>44</v>
      </c>
      <c r="E14" s="16" t="s">
        <v>33</v>
      </c>
      <c r="F14" s="16" t="s">
        <v>45</v>
      </c>
      <c r="G14" s="17">
        <f>65+152</f>
        <v>217</v>
      </c>
      <c r="H14" s="17">
        <v>0</v>
      </c>
      <c r="I14" s="18">
        <f t="shared" si="0"/>
        <v>0</v>
      </c>
      <c r="J14" s="17">
        <v>176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20">
        <f t="shared" si="1"/>
        <v>393</v>
      </c>
      <c r="Q14" s="17">
        <v>395.8</v>
      </c>
      <c r="R14" s="18">
        <f t="shared" si="2"/>
        <v>0.99292572006063662</v>
      </c>
    </row>
    <row r="15" spans="1:18" x14ac:dyDescent="0.3">
      <c r="A15" s="12"/>
      <c r="B15" s="15">
        <v>11</v>
      </c>
      <c r="C15" s="15" t="s">
        <v>31</v>
      </c>
      <c r="D15" s="16" t="s">
        <v>46</v>
      </c>
      <c r="E15" s="16" t="s">
        <v>47</v>
      </c>
      <c r="F15" s="16" t="s">
        <v>37</v>
      </c>
      <c r="G15" s="17">
        <v>0</v>
      </c>
      <c r="H15" s="17">
        <v>0</v>
      </c>
      <c r="I15" s="18">
        <f t="shared" si="0"/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20">
        <f t="shared" si="1"/>
        <v>0</v>
      </c>
      <c r="Q15" s="17">
        <v>108</v>
      </c>
      <c r="R15" s="18">
        <f t="shared" si="2"/>
        <v>0</v>
      </c>
    </row>
    <row r="16" spans="1:18" x14ac:dyDescent="0.3">
      <c r="A16" s="12"/>
      <c r="B16" s="15">
        <v>12</v>
      </c>
      <c r="C16" s="15" t="s">
        <v>31</v>
      </c>
      <c r="D16" s="16" t="s">
        <v>48</v>
      </c>
      <c r="E16" s="16" t="s">
        <v>33</v>
      </c>
      <c r="F16" s="16" t="s">
        <v>37</v>
      </c>
      <c r="G16" s="17">
        <v>0</v>
      </c>
      <c r="H16" s="17">
        <v>0</v>
      </c>
      <c r="I16" s="18">
        <f t="shared" si="0"/>
        <v>0</v>
      </c>
      <c r="J16" s="17">
        <v>0</v>
      </c>
      <c r="K16" s="17">
        <v>0</v>
      </c>
      <c r="L16" s="17">
        <v>370</v>
      </c>
      <c r="M16" s="17">
        <v>0</v>
      </c>
      <c r="N16" s="17">
        <v>0</v>
      </c>
      <c r="O16" s="17">
        <v>0</v>
      </c>
      <c r="P16" s="20">
        <f t="shared" si="1"/>
        <v>370</v>
      </c>
      <c r="Q16" s="17">
        <v>370</v>
      </c>
      <c r="R16" s="18">
        <f t="shared" si="2"/>
        <v>1</v>
      </c>
    </row>
    <row r="17" spans="1:18" x14ac:dyDescent="0.3">
      <c r="A17" s="12"/>
      <c r="B17" s="15">
        <v>13</v>
      </c>
      <c r="C17" s="15" t="s">
        <v>31</v>
      </c>
      <c r="D17" s="16" t="s">
        <v>49</v>
      </c>
      <c r="E17" s="16" t="s">
        <v>50</v>
      </c>
      <c r="F17" s="16" t="s">
        <v>37</v>
      </c>
      <c r="G17" s="17">
        <v>0</v>
      </c>
      <c r="H17" s="17">
        <v>0</v>
      </c>
      <c r="I17" s="18">
        <f t="shared" si="0"/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20">
        <f t="shared" si="1"/>
        <v>0</v>
      </c>
      <c r="Q17" s="17">
        <v>100</v>
      </c>
      <c r="R17" s="18">
        <f t="shared" si="2"/>
        <v>0</v>
      </c>
    </row>
    <row r="18" spans="1:18" x14ac:dyDescent="0.3">
      <c r="A18" s="12"/>
      <c r="B18" s="15">
        <v>14</v>
      </c>
      <c r="C18" s="15" t="s">
        <v>31</v>
      </c>
      <c r="D18" s="16" t="s">
        <v>51</v>
      </c>
      <c r="E18" s="16" t="s">
        <v>50</v>
      </c>
      <c r="F18" s="16" t="s">
        <v>37</v>
      </c>
      <c r="G18" s="17">
        <v>0</v>
      </c>
      <c r="H18" s="17">
        <v>0</v>
      </c>
      <c r="I18" s="18">
        <f t="shared" si="0"/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20">
        <f t="shared" si="1"/>
        <v>0</v>
      </c>
      <c r="Q18" s="17">
        <v>50</v>
      </c>
      <c r="R18" s="18">
        <f t="shared" si="2"/>
        <v>0</v>
      </c>
    </row>
    <row r="19" spans="1:18" x14ac:dyDescent="0.3">
      <c r="A19" s="12"/>
      <c r="B19" s="15">
        <v>15</v>
      </c>
      <c r="C19" s="15" t="s">
        <v>31</v>
      </c>
      <c r="D19" s="16" t="s">
        <v>52</v>
      </c>
      <c r="E19" s="16" t="s">
        <v>33</v>
      </c>
      <c r="F19" s="16" t="s">
        <v>53</v>
      </c>
      <c r="G19" s="17">
        <f>59.3565+8.75+8.75</f>
        <v>76.856499999999997</v>
      </c>
      <c r="H19" s="17">
        <f>45+7.5+7.5+7.5</f>
        <v>67.5</v>
      </c>
      <c r="I19" s="18">
        <f t="shared" si="0"/>
        <v>1.1386148148148147</v>
      </c>
      <c r="J19" s="17">
        <v>8.75</v>
      </c>
      <c r="K19" s="17">
        <v>8.75</v>
      </c>
      <c r="L19" s="17">
        <v>8.75</v>
      </c>
      <c r="M19" s="17">
        <v>0</v>
      </c>
      <c r="N19" s="17">
        <v>0</v>
      </c>
      <c r="O19" s="17">
        <v>0</v>
      </c>
      <c r="P19" s="20">
        <f t="shared" si="1"/>
        <v>103.1065</v>
      </c>
      <c r="Q19" s="17">
        <v>90</v>
      </c>
      <c r="R19" s="18">
        <f t="shared" si="2"/>
        <v>1.1456277777777777</v>
      </c>
    </row>
    <row r="20" spans="1:18" x14ac:dyDescent="0.3">
      <c r="A20" s="12"/>
      <c r="B20" s="15">
        <v>16</v>
      </c>
      <c r="C20" s="15" t="s">
        <v>31</v>
      </c>
      <c r="D20" s="16" t="s">
        <v>54</v>
      </c>
      <c r="E20" s="16" t="s">
        <v>55</v>
      </c>
      <c r="F20" s="16" t="s">
        <v>37</v>
      </c>
      <c r="G20" s="17">
        <v>0</v>
      </c>
      <c r="H20" s="17">
        <v>0</v>
      </c>
      <c r="I20" s="18">
        <f t="shared" si="0"/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20">
        <f t="shared" si="1"/>
        <v>0</v>
      </c>
      <c r="Q20" s="17">
        <v>75</v>
      </c>
      <c r="R20" s="18">
        <f t="shared" si="2"/>
        <v>0</v>
      </c>
    </row>
    <row r="21" spans="1:18" x14ac:dyDescent="0.3">
      <c r="A21" s="12"/>
      <c r="B21" s="15">
        <v>17</v>
      </c>
      <c r="C21" s="15" t="s">
        <v>31</v>
      </c>
      <c r="D21" s="16" t="s">
        <v>56</v>
      </c>
      <c r="E21" s="16" t="s">
        <v>57</v>
      </c>
      <c r="F21" s="16" t="s">
        <v>58</v>
      </c>
      <c r="G21" s="17">
        <f>24.621667+27.171667</f>
        <v>51.793334000000002</v>
      </c>
      <c r="H21" s="17">
        <v>0</v>
      </c>
      <c r="I21" s="18">
        <f t="shared" si="0"/>
        <v>0</v>
      </c>
      <c r="J21" s="17">
        <v>0</v>
      </c>
      <c r="K21" s="17">
        <v>0</v>
      </c>
      <c r="L21" s="17">
        <v>25.5</v>
      </c>
      <c r="M21" s="17">
        <v>0</v>
      </c>
      <c r="N21" s="17">
        <v>0</v>
      </c>
      <c r="O21" s="17">
        <v>0</v>
      </c>
      <c r="P21" s="20">
        <f t="shared" si="1"/>
        <v>77.293334000000002</v>
      </c>
      <c r="Q21" s="17">
        <v>25.5</v>
      </c>
      <c r="R21" s="18">
        <f t="shared" si="2"/>
        <v>3.0311111372549022</v>
      </c>
    </row>
    <row r="22" spans="1:18" x14ac:dyDescent="0.3">
      <c r="A22" s="12"/>
      <c r="B22" s="15">
        <v>18</v>
      </c>
      <c r="C22" s="15" t="s">
        <v>31</v>
      </c>
      <c r="D22" s="16" t="s">
        <v>59</v>
      </c>
      <c r="E22" s="16" t="s">
        <v>57</v>
      </c>
      <c r="F22" s="16" t="s">
        <v>60</v>
      </c>
      <c r="G22" s="17">
        <v>7.3224999999999998</v>
      </c>
      <c r="H22" s="17">
        <f>7.25+7.25</f>
        <v>14.5</v>
      </c>
      <c r="I22" s="18">
        <f t="shared" si="0"/>
        <v>0.505</v>
      </c>
      <c r="J22" s="17">
        <v>0</v>
      </c>
      <c r="K22" s="17">
        <v>0</v>
      </c>
      <c r="L22" s="17">
        <v>7.25</v>
      </c>
      <c r="M22" s="17">
        <v>0</v>
      </c>
      <c r="N22" s="17">
        <v>0</v>
      </c>
      <c r="O22" s="17">
        <v>0</v>
      </c>
      <c r="P22" s="20">
        <f t="shared" si="1"/>
        <v>14.5725</v>
      </c>
      <c r="Q22" s="17">
        <v>14.5</v>
      </c>
      <c r="R22" s="18">
        <f t="shared" si="2"/>
        <v>1.0049999999999999</v>
      </c>
    </row>
    <row r="23" spans="1:18" x14ac:dyDescent="0.3">
      <c r="A23" s="12"/>
      <c r="B23" s="15">
        <v>19</v>
      </c>
      <c r="C23" s="15" t="s">
        <v>31</v>
      </c>
      <c r="D23" s="16" t="s">
        <v>61</v>
      </c>
      <c r="E23" s="16" t="s">
        <v>57</v>
      </c>
      <c r="F23" s="16" t="s">
        <v>62</v>
      </c>
      <c r="G23" s="17">
        <v>7.7264999999999997</v>
      </c>
      <c r="H23" s="17">
        <v>2.1</v>
      </c>
      <c r="I23" s="18">
        <f t="shared" si="0"/>
        <v>3.6792857142857138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20">
        <f t="shared" si="1"/>
        <v>7.7264999999999997</v>
      </c>
      <c r="Q23" s="17">
        <v>2.1</v>
      </c>
      <c r="R23" s="18">
        <f t="shared" si="2"/>
        <v>3.6792857142857138</v>
      </c>
    </row>
    <row r="24" spans="1:18" x14ac:dyDescent="0.3">
      <c r="A24" s="12"/>
      <c r="B24" s="15">
        <v>20</v>
      </c>
      <c r="C24" s="15" t="s">
        <v>31</v>
      </c>
      <c r="D24" s="16" t="s">
        <v>63</v>
      </c>
      <c r="E24" s="16" t="s">
        <v>33</v>
      </c>
      <c r="F24" s="16" t="s">
        <v>64</v>
      </c>
      <c r="G24" s="17">
        <v>83.25</v>
      </c>
      <c r="H24" s="17">
        <v>0</v>
      </c>
      <c r="I24" s="18">
        <f t="shared" si="0"/>
        <v>0</v>
      </c>
      <c r="J24" s="17">
        <v>0</v>
      </c>
      <c r="K24" s="17">
        <v>0</v>
      </c>
      <c r="L24" s="17">
        <v>100</v>
      </c>
      <c r="M24" s="17">
        <v>0</v>
      </c>
      <c r="N24" s="17">
        <v>0</v>
      </c>
      <c r="O24" s="17">
        <v>0</v>
      </c>
      <c r="P24" s="20">
        <f t="shared" si="1"/>
        <v>183.25</v>
      </c>
      <c r="Q24" s="17">
        <v>47</v>
      </c>
      <c r="R24" s="18">
        <f t="shared" si="2"/>
        <v>3.8989361702127661</v>
      </c>
    </row>
    <row r="25" spans="1:18" x14ac:dyDescent="0.3">
      <c r="A25" s="12"/>
      <c r="B25" s="15">
        <v>21</v>
      </c>
      <c r="C25" s="15" t="s">
        <v>31</v>
      </c>
      <c r="D25" s="16" t="s">
        <v>65</v>
      </c>
      <c r="E25" s="16" t="s">
        <v>33</v>
      </c>
      <c r="F25" s="16" t="s">
        <v>66</v>
      </c>
      <c r="G25" s="17">
        <f>0+27.083893</f>
        <v>27.083893</v>
      </c>
      <c r="H25" s="17">
        <f>0+24</f>
        <v>24</v>
      </c>
      <c r="I25" s="18">
        <f t="shared" si="0"/>
        <v>1.1284955416666667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20">
        <f t="shared" si="1"/>
        <v>27.083893</v>
      </c>
      <c r="Q25" s="17">
        <v>24</v>
      </c>
      <c r="R25" s="18">
        <f t="shared" si="2"/>
        <v>1.1284955416666667</v>
      </c>
    </row>
    <row r="26" spans="1:18" x14ac:dyDescent="0.3">
      <c r="A26" s="12"/>
      <c r="B26" s="15">
        <v>22</v>
      </c>
      <c r="C26" s="15" t="s">
        <v>31</v>
      </c>
      <c r="D26" s="16" t="s">
        <v>67</v>
      </c>
      <c r="E26" s="16" t="s">
        <v>33</v>
      </c>
      <c r="F26" s="16" t="s">
        <v>68</v>
      </c>
      <c r="G26" s="17">
        <v>28.160755999999999</v>
      </c>
      <c r="H26" s="17">
        <v>27</v>
      </c>
      <c r="I26" s="18">
        <f t="shared" si="0"/>
        <v>1.042990962962963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20">
        <f t="shared" si="1"/>
        <v>28.160755999999999</v>
      </c>
      <c r="Q26" s="17">
        <v>27</v>
      </c>
      <c r="R26" s="18">
        <f t="shared" si="2"/>
        <v>1.042990962962963</v>
      </c>
    </row>
    <row r="27" spans="1:18" x14ac:dyDescent="0.3">
      <c r="A27" s="12"/>
      <c r="B27" s="21">
        <v>24</v>
      </c>
      <c r="C27" s="15" t="s">
        <v>31</v>
      </c>
      <c r="D27" s="22" t="s">
        <v>69</v>
      </c>
      <c r="E27" s="22" t="s">
        <v>57</v>
      </c>
      <c r="F27" s="22" t="s">
        <v>70</v>
      </c>
      <c r="G27" s="23">
        <v>5.44</v>
      </c>
      <c r="H27" s="23"/>
      <c r="I27" s="24">
        <f t="shared" si="0"/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5">
        <f t="shared" si="1"/>
        <v>5.44</v>
      </c>
      <c r="Q27" s="23">
        <v>0</v>
      </c>
      <c r="R27" s="24">
        <f t="shared" si="2"/>
        <v>0</v>
      </c>
    </row>
    <row r="28" spans="1:18" x14ac:dyDescent="0.3">
      <c r="A28" s="12"/>
      <c r="B28" s="21">
        <v>25</v>
      </c>
      <c r="C28" s="15" t="s">
        <v>31</v>
      </c>
      <c r="D28" s="22" t="s">
        <v>71</v>
      </c>
      <c r="E28" s="22" t="s">
        <v>57</v>
      </c>
      <c r="F28" s="22" t="s">
        <v>72</v>
      </c>
      <c r="G28" s="23">
        <v>17.760000000000002</v>
      </c>
      <c r="H28" s="23"/>
      <c r="I28" s="24">
        <f t="shared" si="0"/>
        <v>0</v>
      </c>
      <c r="J28" s="23">
        <v>0</v>
      </c>
      <c r="K28" s="23">
        <v>17.760000000000002</v>
      </c>
      <c r="L28" s="23">
        <v>0</v>
      </c>
      <c r="M28" s="23">
        <v>0</v>
      </c>
      <c r="N28" s="23">
        <v>0</v>
      </c>
      <c r="O28" s="23">
        <v>0</v>
      </c>
      <c r="P28" s="25">
        <f t="shared" si="1"/>
        <v>35.520000000000003</v>
      </c>
      <c r="Q28" s="23">
        <v>0</v>
      </c>
      <c r="R28" s="24">
        <f t="shared" si="2"/>
        <v>0</v>
      </c>
    </row>
    <row r="29" spans="1:18" x14ac:dyDescent="0.3">
      <c r="A29" s="12"/>
      <c r="B29" s="21">
        <v>23</v>
      </c>
      <c r="C29" s="15" t="s">
        <v>73</v>
      </c>
      <c r="D29" s="22" t="s">
        <v>74</v>
      </c>
      <c r="E29" s="22" t="s">
        <v>75</v>
      </c>
      <c r="F29" s="22" t="s">
        <v>76</v>
      </c>
      <c r="G29" s="23">
        <v>0</v>
      </c>
      <c r="H29" s="23">
        <v>0</v>
      </c>
      <c r="I29" s="24">
        <f t="shared" si="0"/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5">
        <f t="shared" si="1"/>
        <v>0</v>
      </c>
      <c r="Q29" s="23">
        <v>259.09100000000001</v>
      </c>
      <c r="R29" s="24">
        <f t="shared" si="2"/>
        <v>0</v>
      </c>
    </row>
    <row r="30" spans="1:18" ht="15" customHeight="1" x14ac:dyDescent="0.3">
      <c r="A30" s="12"/>
      <c r="B30" s="21">
        <v>26</v>
      </c>
      <c r="C30" s="15" t="s">
        <v>31</v>
      </c>
      <c r="D30" s="22" t="s">
        <v>77</v>
      </c>
      <c r="E30" s="22" t="s">
        <v>37</v>
      </c>
      <c r="F30" s="22" t="s">
        <v>78</v>
      </c>
      <c r="G30" s="23">
        <v>0</v>
      </c>
      <c r="H30" s="23">
        <v>0</v>
      </c>
      <c r="I30" s="24">
        <f t="shared" si="0"/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5">
        <f t="shared" si="1"/>
        <v>0</v>
      </c>
      <c r="Q30" s="23">
        <v>0</v>
      </c>
      <c r="R30" s="24">
        <f t="shared" si="2"/>
        <v>0</v>
      </c>
    </row>
    <row r="31" spans="1:18" ht="15" customHeight="1" x14ac:dyDescent="0.3">
      <c r="A31" s="12"/>
      <c r="B31" s="32" t="s">
        <v>79</v>
      </c>
      <c r="C31" s="33"/>
      <c r="D31" s="33"/>
      <c r="E31" s="33"/>
      <c r="F31" s="33"/>
      <c r="G31" s="26">
        <f>SUM(G5:G30)</f>
        <v>4371.6834829999998</v>
      </c>
      <c r="H31" s="26">
        <f>SUM(H5:H30)</f>
        <v>5537.244404</v>
      </c>
      <c r="I31" s="27">
        <f t="shared" si="0"/>
        <v>0.78950524196511518</v>
      </c>
      <c r="J31" s="26">
        <f t="shared" ref="J31:Q31" si="3">SUM(J5:J30)</f>
        <v>184.75</v>
      </c>
      <c r="K31" s="26">
        <f t="shared" si="3"/>
        <v>26.51</v>
      </c>
      <c r="L31" s="26">
        <f t="shared" si="3"/>
        <v>5885.5</v>
      </c>
      <c r="M31" s="26">
        <f t="shared" si="3"/>
        <v>0</v>
      </c>
      <c r="N31" s="26">
        <f t="shared" si="3"/>
        <v>0</v>
      </c>
      <c r="O31" s="26">
        <f t="shared" si="3"/>
        <v>0</v>
      </c>
      <c r="P31" s="26">
        <f t="shared" si="3"/>
        <v>10468.443483000001</v>
      </c>
      <c r="Q31" s="26">
        <f t="shared" si="3"/>
        <v>8846.1350000000002</v>
      </c>
      <c r="R31" s="27">
        <f t="shared" si="2"/>
        <v>1.1833917844346713</v>
      </c>
    </row>
  </sheetData>
  <mergeCells count="11">
    <mergeCell ref="R3:R4"/>
    <mergeCell ref="D3:D4"/>
    <mergeCell ref="F3:F4"/>
    <mergeCell ref="B31:F31"/>
    <mergeCell ref="G3:I3"/>
    <mergeCell ref="J3:O3"/>
    <mergeCell ref="C3:C4"/>
    <mergeCell ref="B3:B4"/>
    <mergeCell ref="P3:P4"/>
    <mergeCell ref="E3:E4"/>
    <mergeCell ref="Q3:Q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7"/>
  <sheetViews>
    <sheetView showGridLines="0" zoomScaleNormal="100" workbookViewId="0">
      <selection activeCell="J11" sqref="J11"/>
    </sheetView>
  </sheetViews>
  <sheetFormatPr defaultRowHeight="14.4" customHeight="1" x14ac:dyDescent="0.3"/>
  <cols>
    <col min="1" max="1" width="2.33203125" customWidth="1"/>
    <col min="2" max="2" width="4.33203125" customWidth="1"/>
    <col min="3" max="3" width="20.5546875" customWidth="1"/>
    <col min="4" max="4" width="8.21875" customWidth="1"/>
    <col min="5" max="5" width="8.109375" customWidth="1"/>
    <col min="6" max="6" width="7.5546875" customWidth="1"/>
    <col min="7" max="7" width="9.44140625" customWidth="1"/>
    <col min="8" max="9" width="11.21875" customWidth="1"/>
    <col min="10" max="11" width="11.21875" hidden="1" customWidth="1"/>
    <col min="12" max="12" width="10.109375" customWidth="1"/>
    <col min="13" max="13" width="10.5546875" customWidth="1"/>
    <col min="14" max="14" width="16.44140625" customWidth="1"/>
    <col min="15" max="15" width="11.21875" customWidth="1"/>
    <col min="16" max="16" width="11.5546875" customWidth="1"/>
  </cols>
  <sheetData>
    <row r="2" spans="2:15" ht="15" customHeight="1" x14ac:dyDescent="0.3">
      <c r="O2" s="1" t="s">
        <v>0</v>
      </c>
    </row>
    <row r="3" spans="2:15" ht="14.4" customHeight="1" x14ac:dyDescent="0.3">
      <c r="B3" s="38" t="s">
        <v>1</v>
      </c>
      <c r="C3" s="38" t="s">
        <v>2</v>
      </c>
      <c r="D3" s="38" t="s">
        <v>6</v>
      </c>
      <c r="E3" s="39"/>
      <c r="F3" s="39"/>
      <c r="G3" s="38" t="s">
        <v>7</v>
      </c>
      <c r="H3" s="39"/>
      <c r="I3" s="39"/>
      <c r="J3" s="39"/>
      <c r="K3" s="39"/>
      <c r="L3" s="39"/>
      <c r="M3" s="40" t="s">
        <v>100</v>
      </c>
      <c r="N3" s="38" t="s">
        <v>9</v>
      </c>
      <c r="O3" s="39"/>
    </row>
    <row r="4" spans="2:15" x14ac:dyDescent="0.3">
      <c r="B4" s="30"/>
      <c r="C4" s="30"/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/>
      <c r="K4" s="2"/>
      <c r="L4" s="2"/>
      <c r="M4" s="30"/>
      <c r="N4" s="2" t="s">
        <v>9</v>
      </c>
      <c r="O4" s="2" t="s">
        <v>81</v>
      </c>
    </row>
    <row r="5" spans="2:15" x14ac:dyDescent="0.3"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91</v>
      </c>
      <c r="L5" s="3" t="s">
        <v>92</v>
      </c>
      <c r="M5" s="4" t="s">
        <v>93</v>
      </c>
      <c r="N5" s="3" t="s">
        <v>91</v>
      </c>
      <c r="O5" s="3" t="s">
        <v>94</v>
      </c>
    </row>
    <row r="6" spans="2:15" x14ac:dyDescent="0.3">
      <c r="B6" s="5">
        <v>1</v>
      </c>
      <c r="C6" s="6" t="s">
        <v>31</v>
      </c>
      <c r="D6" s="7">
        <f>SUMIF('Opset Pendapatan per Proker'!$C$5:$C$30,C6,'Opset Pendapatan per Proker'!$G$5:$G$30)</f>
        <v>802.16</v>
      </c>
      <c r="E6" s="7">
        <f>SUMIF('Opset Pendapatan per Proker'!$C$5:$C$30,C6,'Opset Pendapatan per Proker'!$H$5:$H$30)</f>
        <v>859.85</v>
      </c>
      <c r="F6" s="8">
        <f t="shared" ref="F6:F17" si="0">IFERROR(D6/E6,0)</f>
        <v>0.93290690236669183</v>
      </c>
      <c r="G6" s="7">
        <f>SUMIF('Opset Pendapatan per Proker'!$C$5:$C$30,C6,'Opset Pendapatan per Proker'!$J$5:$J$30)</f>
        <v>161.75</v>
      </c>
      <c r="H6" s="7">
        <f>SUMIF('Opset Pendapatan per Proker'!$C$5:$C$30,C6,'Opset Pendapatan per Proker'!$K$5:$K$30)</f>
        <v>536.76</v>
      </c>
      <c r="I6" s="7">
        <f>SUMIF('Opset Pendapatan per Proker'!$C$5:$C$30,C6,'Opset Pendapatan per Proker'!$L$5:$L$30)</f>
        <v>7.5</v>
      </c>
      <c r="J6" s="7">
        <f>SUMIF('Opset Pendapatan per Proker'!$C$5:$C$30,C6,'Opset Pendapatan per Proker'!$M$5:$M$30)</f>
        <v>0</v>
      </c>
      <c r="K6" s="7">
        <f>SUMIF('Opset Pendapatan per Proker'!$C$5:$C$30,C6,'Opset Pendapatan per Proker'!$N$5:$N$30)</f>
        <v>0</v>
      </c>
      <c r="L6" s="7">
        <f>SUMIF('Opset Pendapatan per Proker'!$C$5:$C$30,C6,'Opset Pendapatan per Proker'!$O$5:$O$30)</f>
        <v>0</v>
      </c>
      <c r="M6" s="7">
        <f t="shared" ref="M6:M16" si="1">D6+SUM(G6:L6)</f>
        <v>1508.17</v>
      </c>
      <c r="N6" s="7">
        <f>SUMIF('Opset Pendapatan per Proker'!$C$5:$C$30,C6,'Opset Pendapatan per Proker'!$Q$5:$Q$30)</f>
        <v>2482.9</v>
      </c>
      <c r="O6" s="8">
        <f t="shared" ref="O6:O17" si="2">IFERROR(M6/N6,0)</f>
        <v>0.60742277175883042</v>
      </c>
    </row>
    <row r="7" spans="2:15" x14ac:dyDescent="0.3">
      <c r="B7" s="5">
        <v>2</v>
      </c>
      <c r="C7" s="6" t="s">
        <v>95</v>
      </c>
      <c r="D7" s="7">
        <f>SUMIF('Opset Pendapatan per Proker'!$C$5:$C$30,C7,'Opset Pendapatan per Proker'!$G$5:$G$30)</f>
        <v>0</v>
      </c>
      <c r="E7" s="7">
        <f>SUMIF('Opset Pendapatan per Proker'!$C$5:$C$30,C7,'Opset Pendapatan per Proker'!$H$5:$H$30)</f>
        <v>0</v>
      </c>
      <c r="F7" s="8">
        <f t="shared" si="0"/>
        <v>0</v>
      </c>
      <c r="G7" s="7">
        <f>SUMIF('Opset Pendapatan per Proker'!$C$5:$C$30,C7,'Opset Pendapatan per Proker'!$J$5:$J$30)</f>
        <v>0</v>
      </c>
      <c r="H7" s="7">
        <f>SUMIF('Opset Pendapatan per Proker'!$C$5:$C$30,C7,'Opset Pendapatan per Proker'!$K$5:$K$30)</f>
        <v>0</v>
      </c>
      <c r="I7" s="7">
        <f>SUMIF('Opset Pendapatan per Proker'!$C$5:$C$30,C7,'Opset Pendapatan per Proker'!$L$5:$L$30)</f>
        <v>0</v>
      </c>
      <c r="J7" s="7">
        <f>SUMIF('Opset Pendapatan per Proker'!$C$5:$C$30,C7,'Opset Pendapatan per Proker'!$M$5:$M$30)</f>
        <v>0</v>
      </c>
      <c r="K7" s="7">
        <f>SUMIF('Opset Pendapatan per Proker'!$C$5:$C$30,C7,'Opset Pendapatan per Proker'!$N$5:$N$30)</f>
        <v>0</v>
      </c>
      <c r="L7" s="7">
        <f>SUMIF('Opset Pendapatan per Proker'!$C$5:$C$30,C7,'Opset Pendapatan per Proker'!$O$5:$O$30)</f>
        <v>0</v>
      </c>
      <c r="M7" s="7">
        <f t="shared" si="1"/>
        <v>0</v>
      </c>
      <c r="N7" s="7">
        <f>SUMIF('Opset Pendapatan per Proker'!$C$5:$C$30,C7,'Opset Pendapatan per Proker'!$Q$5:$Q$30)</f>
        <v>0</v>
      </c>
      <c r="O7" s="8">
        <f t="shared" si="2"/>
        <v>0</v>
      </c>
    </row>
    <row r="8" spans="2:15" x14ac:dyDescent="0.3">
      <c r="B8" s="5">
        <v>3</v>
      </c>
      <c r="C8" s="6" t="s">
        <v>96</v>
      </c>
      <c r="D8" s="7">
        <f>SUMIF('Opset Pendapatan per Proker'!$C$5:$C$30,C8,'Opset Pendapatan per Proker'!$G$5:$G$30)</f>
        <v>0</v>
      </c>
      <c r="E8" s="7">
        <f>SUMIF('Opset Pendapatan per Proker'!$C$5:$C$30,C8,'Opset Pendapatan per Proker'!$H$5:$H$30)</f>
        <v>0</v>
      </c>
      <c r="F8" s="8">
        <f t="shared" si="0"/>
        <v>0</v>
      </c>
      <c r="G8" s="7">
        <f>SUMIF('Opset Pendapatan per Proker'!$C$5:$C$30,C8,'Opset Pendapatan per Proker'!$J$5:$J$30)</f>
        <v>0</v>
      </c>
      <c r="H8" s="7">
        <f>SUMIF('Opset Pendapatan per Proker'!$C$5:$C$30,C8,'Opset Pendapatan per Proker'!$K$5:$K$30)</f>
        <v>0</v>
      </c>
      <c r="I8" s="7">
        <f>SUMIF('Opset Pendapatan per Proker'!$C$5:$C$30,C8,'Opset Pendapatan per Proker'!$L$5:$L$30)</f>
        <v>0</v>
      </c>
      <c r="J8" s="7">
        <f>SUMIF('Opset Pendapatan per Proker'!$C$5:$C$30,C8,'Opset Pendapatan per Proker'!$M$5:$M$30)</f>
        <v>0</v>
      </c>
      <c r="K8" s="7">
        <f>SUMIF('Opset Pendapatan per Proker'!$C$5:$C$30,C8,'Opset Pendapatan per Proker'!$N$5:$N$30)</f>
        <v>0</v>
      </c>
      <c r="L8" s="7">
        <f>SUMIF('Opset Pendapatan per Proker'!$C$5:$C$30,C8,'Opset Pendapatan per Proker'!$O$5:$O$30)</f>
        <v>0</v>
      </c>
      <c r="M8" s="7">
        <f t="shared" si="1"/>
        <v>0</v>
      </c>
      <c r="N8" s="7">
        <f>SUMIF('Opset Pendapatan per Proker'!$C$5:$C$30,C8,'Opset Pendapatan per Proker'!$Q$5:$Q$30)</f>
        <v>0</v>
      </c>
      <c r="O8" s="8">
        <f t="shared" si="2"/>
        <v>0</v>
      </c>
    </row>
    <row r="9" spans="2:15" x14ac:dyDescent="0.3">
      <c r="B9" s="5">
        <v>4</v>
      </c>
      <c r="C9" s="6" t="s">
        <v>25</v>
      </c>
      <c r="D9" s="7">
        <f>SUMIF('Opset Pendapatan per Proker'!$C$5:$C$30,C9,'Opset Pendapatan per Proker'!$G$5:$G$30)</f>
        <v>0</v>
      </c>
      <c r="E9" s="7">
        <f>SUMIF('Opset Pendapatan per Proker'!$C$5:$C$30,C9,'Opset Pendapatan per Proker'!$H$5:$H$30)</f>
        <v>32</v>
      </c>
      <c r="F9" s="8">
        <f t="shared" si="0"/>
        <v>0</v>
      </c>
      <c r="G9" s="7">
        <f>SUMIF('Opset Pendapatan per Proker'!$C$5:$C$30,C9,'Opset Pendapatan per Proker'!$J$5:$J$30)</f>
        <v>0</v>
      </c>
      <c r="H9" s="7">
        <f>SUMIF('Opset Pendapatan per Proker'!$C$5:$C$30,C9,'Opset Pendapatan per Proker'!$K$5:$K$30)</f>
        <v>0</v>
      </c>
      <c r="I9" s="7">
        <f>SUMIF('Opset Pendapatan per Proker'!$C$5:$C$30,C9,'Opset Pendapatan per Proker'!$L$5:$L$30)</f>
        <v>0</v>
      </c>
      <c r="J9" s="7">
        <f>SUMIF('Opset Pendapatan per Proker'!$C$5:$C$30,C9,'Opset Pendapatan per Proker'!$M$5:$M$30)</f>
        <v>0</v>
      </c>
      <c r="K9" s="7">
        <f>SUMIF('Opset Pendapatan per Proker'!$C$5:$C$30,C9,'Opset Pendapatan per Proker'!$N$5:$N$30)</f>
        <v>0</v>
      </c>
      <c r="L9" s="7">
        <f>SUMIF('Opset Pendapatan per Proker'!$C$5:$C$30,C9,'Opset Pendapatan per Proker'!$O$5:$O$30)</f>
        <v>0</v>
      </c>
      <c r="M9" s="7">
        <f t="shared" si="1"/>
        <v>0</v>
      </c>
      <c r="N9" s="7">
        <f>SUMIF('Opset Pendapatan per Proker'!$C$5:$C$30,C9,'Opset Pendapatan per Proker'!$Q$5:$Q$30)</f>
        <v>406</v>
      </c>
      <c r="O9" s="8">
        <f t="shared" si="2"/>
        <v>0</v>
      </c>
    </row>
    <row r="10" spans="2:15" x14ac:dyDescent="0.3">
      <c r="B10" s="5">
        <v>5</v>
      </c>
      <c r="C10" s="6" t="s">
        <v>97</v>
      </c>
      <c r="D10" s="7">
        <f>SUMIF('Opset Pendapatan per Proker'!$C$5:$C$30,C10,'Opset Pendapatan per Proker'!$G$5:$G$30)</f>
        <v>0</v>
      </c>
      <c r="E10" s="7">
        <f>SUMIF('Opset Pendapatan per Proker'!$C$5:$C$30,C10,'Opset Pendapatan per Proker'!$H$5:$H$30)</f>
        <v>0</v>
      </c>
      <c r="F10" s="8">
        <f t="shared" si="0"/>
        <v>0</v>
      </c>
      <c r="G10" s="7">
        <f>SUMIF('Opset Pendapatan per Proker'!$C$5:$C$30,C10,'Opset Pendapatan per Proker'!$J$5:$J$30)</f>
        <v>0</v>
      </c>
      <c r="H10" s="7">
        <f>SUMIF('Opset Pendapatan per Proker'!$C$5:$C$30,C10,'Opset Pendapatan per Proker'!$K$5:$K$30)</f>
        <v>0</v>
      </c>
      <c r="I10" s="7">
        <f>SUMIF('Opset Pendapatan per Proker'!$C$5:$C$30,C10,'Opset Pendapatan per Proker'!$L$5:$L$30)</f>
        <v>0</v>
      </c>
      <c r="J10" s="7">
        <f>SUMIF('Opset Pendapatan per Proker'!$C$5:$C$30,C10,'Opset Pendapatan per Proker'!$M$5:$M$30)</f>
        <v>0</v>
      </c>
      <c r="K10" s="7">
        <f>SUMIF('Opset Pendapatan per Proker'!$C$5:$C$30,C10,'Opset Pendapatan per Proker'!$N$5:$N$30)</f>
        <v>0</v>
      </c>
      <c r="L10" s="7">
        <f>SUMIF('Opset Pendapatan per Proker'!$C$5:$C$30,C10,'Opset Pendapatan per Proker'!$O$5:$O$30)</f>
        <v>0</v>
      </c>
      <c r="M10" s="7">
        <f t="shared" si="1"/>
        <v>0</v>
      </c>
      <c r="N10" s="7">
        <f>SUMIF('Opset Pendapatan per Proker'!$C$5:$C$30,C10,'Opset Pendapatan per Proker'!$Q$5:$Q$30)</f>
        <v>0</v>
      </c>
      <c r="O10" s="8">
        <f t="shared" si="2"/>
        <v>0</v>
      </c>
    </row>
    <row r="11" spans="2:15" x14ac:dyDescent="0.3">
      <c r="B11" s="5">
        <v>6</v>
      </c>
      <c r="C11" s="6" t="s">
        <v>98</v>
      </c>
      <c r="D11" s="7">
        <f>SUMIF('Opset Pendapatan per Proker'!$C$5:$C$30,C11,'Opset Pendapatan per Proker'!$G$5:$G$30)</f>
        <v>0</v>
      </c>
      <c r="E11" s="7">
        <f>SUMIF('Opset Pendapatan per Proker'!$C$5:$C$30,C11,'Opset Pendapatan per Proker'!$H$5:$H$30)</f>
        <v>0</v>
      </c>
      <c r="F11" s="8">
        <f t="shared" si="0"/>
        <v>0</v>
      </c>
      <c r="G11" s="7">
        <f>SUMIF('Opset Pendapatan per Proker'!$C$5:$C$30,C11,'Opset Pendapatan per Proker'!$J$5:$J$30)</f>
        <v>0</v>
      </c>
      <c r="H11" s="7">
        <f>SUMIF('Opset Pendapatan per Proker'!$C$5:$C$30,C11,'Opset Pendapatan per Proker'!$K$5:$K$30)</f>
        <v>0</v>
      </c>
      <c r="I11" s="7">
        <f>SUMIF('Opset Pendapatan per Proker'!$C$5:$C$30,C11,'Opset Pendapatan per Proker'!$L$5:$L$30)</f>
        <v>0</v>
      </c>
      <c r="J11" s="7">
        <f>SUMIF('Opset Pendapatan per Proker'!$C$5:$C$30,C11,'Opset Pendapatan per Proker'!$M$5:$M$30)</f>
        <v>0</v>
      </c>
      <c r="K11" s="7">
        <f>SUMIF('Opset Pendapatan per Proker'!$C$5:$C$30,C11,'Opset Pendapatan per Proker'!$N$5:$N$30)</f>
        <v>0</v>
      </c>
      <c r="L11" s="7">
        <f>SUMIF('Opset Pendapatan per Proker'!$C$5:$C$30,C11,'Opset Pendapatan per Proker'!$O$5:$O$30)</f>
        <v>0</v>
      </c>
      <c r="M11" s="7">
        <f t="shared" si="1"/>
        <v>0</v>
      </c>
      <c r="N11" s="7">
        <f>SUMIF('Opset Pendapatan per Proker'!$C$5:$C$30,C11,'Opset Pendapatan per Proker'!$Q$5:$Q$30)</f>
        <v>0</v>
      </c>
      <c r="O11" s="8">
        <f t="shared" si="2"/>
        <v>0</v>
      </c>
    </row>
    <row r="12" spans="2:15" x14ac:dyDescent="0.3">
      <c r="B12" s="5">
        <v>7</v>
      </c>
      <c r="C12" s="6" t="s">
        <v>73</v>
      </c>
      <c r="D12" s="7">
        <f>SUMIF('Opset Pendapatan per Proker'!$C$5:$C$30,C12,'Opset Pendapatan per Proker'!$G$5:$G$30)</f>
        <v>0</v>
      </c>
      <c r="E12" s="7">
        <f>SUMIF('Opset Pendapatan per Proker'!$C$5:$C$30,C12,'Opset Pendapatan per Proker'!$H$5:$H$30)</f>
        <v>0</v>
      </c>
      <c r="F12" s="8">
        <f t="shared" si="0"/>
        <v>0</v>
      </c>
      <c r="G12" s="7">
        <f>SUMIF('Opset Pendapatan per Proker'!$C$5:$C$30,C12,'Opset Pendapatan per Proker'!$J$5:$J$30)</f>
        <v>0</v>
      </c>
      <c r="H12" s="7">
        <f>SUMIF('Opset Pendapatan per Proker'!$C$5:$C$30,C12,'Opset Pendapatan per Proker'!$K$5:$K$30)</f>
        <v>0</v>
      </c>
      <c r="I12" s="7">
        <f>SUMIF('Opset Pendapatan per Proker'!$C$5:$C$30,C12,'Opset Pendapatan per Proker'!$L$5:$L$30)</f>
        <v>0</v>
      </c>
      <c r="J12" s="7">
        <f>SUMIF('Opset Pendapatan per Proker'!$C$5:$C$30,C12,'Opset Pendapatan per Proker'!$M$5:$M$30)</f>
        <v>0</v>
      </c>
      <c r="K12" s="7">
        <f>SUMIF('Opset Pendapatan per Proker'!$C$5:$C$30,C12,'Opset Pendapatan per Proker'!$N$5:$N$30)</f>
        <v>0</v>
      </c>
      <c r="L12" s="7">
        <f>SUMIF('Opset Pendapatan per Proker'!$C$5:$C$30,C12,'Opset Pendapatan per Proker'!$O$5:$O$30)</f>
        <v>0</v>
      </c>
      <c r="M12" s="7">
        <f t="shared" si="1"/>
        <v>0</v>
      </c>
      <c r="N12" s="7">
        <f>SUMIF('Opset Pendapatan per Proker'!$C$5:$C$30,C12,'Opset Pendapatan per Proker'!$Q$5:$Q$30)</f>
        <v>259.09100000000001</v>
      </c>
      <c r="O12" s="8">
        <f t="shared" si="2"/>
        <v>0</v>
      </c>
    </row>
    <row r="13" spans="2:15" x14ac:dyDescent="0.3">
      <c r="B13" s="5">
        <v>8</v>
      </c>
      <c r="C13" s="6" t="s">
        <v>99</v>
      </c>
      <c r="D13" s="7">
        <f>SUMIF('Opset Pendapatan per Proker'!$C$5:$C$30,C13,'Opset Pendapatan per Proker'!$G$5:$G$30)</f>
        <v>0</v>
      </c>
      <c r="E13" s="7">
        <f>SUMIF('Opset Pendapatan per Proker'!$C$5:$C$30,C13,'Opset Pendapatan per Proker'!$H$5:$H$30)</f>
        <v>0</v>
      </c>
      <c r="F13" s="8">
        <f t="shared" si="0"/>
        <v>0</v>
      </c>
      <c r="G13" s="7">
        <f>SUMIF('Opset Pendapatan per Proker'!$C$5:$C$30,C13,'Opset Pendapatan per Proker'!$J$5:$J$30)</f>
        <v>0</v>
      </c>
      <c r="H13" s="7">
        <f>SUMIF('Opset Pendapatan per Proker'!$C$5:$C$30,C13,'Opset Pendapatan per Proker'!$K$5:$K$30)</f>
        <v>0</v>
      </c>
      <c r="I13" s="7">
        <f>SUMIF('Opset Pendapatan per Proker'!$C$5:$C$30,C13,'Opset Pendapatan per Proker'!$L$5:$L$30)</f>
        <v>0</v>
      </c>
      <c r="J13" s="7">
        <f>SUMIF('Opset Pendapatan per Proker'!$C$5:$C$30,C13,'Opset Pendapatan per Proker'!$M$5:$M$30)</f>
        <v>0</v>
      </c>
      <c r="K13" s="7">
        <f>SUMIF('Opset Pendapatan per Proker'!$C$5:$C$30,C13,'Opset Pendapatan per Proker'!$N$5:$N$30)</f>
        <v>0</v>
      </c>
      <c r="L13" s="7">
        <f>SUMIF('Opset Pendapatan per Proker'!$C$5:$C$30,C13,'Opset Pendapatan per Proker'!$O$5:$O$30)</f>
        <v>0</v>
      </c>
      <c r="M13" s="7">
        <f t="shared" si="1"/>
        <v>0</v>
      </c>
      <c r="N13" s="7">
        <f>SUMIF('Opset Pendapatan per Proker'!$C$5:$C$30,C13,'Opset Pendapatan per Proker'!$Q$5:$Q$30)</f>
        <v>0</v>
      </c>
      <c r="O13" s="8">
        <f t="shared" si="2"/>
        <v>0</v>
      </c>
    </row>
    <row r="14" spans="2:15" x14ac:dyDescent="0.3">
      <c r="B14" s="5">
        <v>9</v>
      </c>
      <c r="C14" s="6" t="s">
        <v>21</v>
      </c>
      <c r="D14" s="7">
        <f>SUMIF('Opset Pendapatan per Proker'!$C$5:$C$30,C14,'Opset Pendapatan per Proker'!$G$5:$G$30)</f>
        <v>5702.82</v>
      </c>
      <c r="E14" s="7">
        <f>SUMIF('Opset Pendapatan per Proker'!$C$5:$C$30,C14,'Opset Pendapatan per Proker'!$H$5:$H$30)</f>
        <v>0</v>
      </c>
      <c r="F14" s="8">
        <f t="shared" si="0"/>
        <v>0</v>
      </c>
      <c r="G14" s="7">
        <f>SUMIF('Opset Pendapatan per Proker'!$C$5:$C$30,C14,'Opset Pendapatan per Proker'!$J$5:$J$30)</f>
        <v>0</v>
      </c>
      <c r="H14" s="7">
        <f>SUMIF('Opset Pendapatan per Proker'!$C$5:$C$30,C14,'Opset Pendapatan per Proker'!$K$5:$K$30)</f>
        <v>0</v>
      </c>
      <c r="I14" s="7">
        <f>SUMIF('Opset Pendapatan per Proker'!$C$5:$C$30,C14,'Opset Pendapatan per Proker'!$L$5:$L$30)</f>
        <v>0</v>
      </c>
      <c r="J14" s="7">
        <f>SUMIF('Opset Pendapatan per Proker'!$C$5:$C$30,C14,'Opset Pendapatan per Proker'!$M$5:$M$30)</f>
        <v>0</v>
      </c>
      <c r="K14" s="7">
        <f>SUMIF('Opset Pendapatan per Proker'!$C$5:$C$30,C14,'Opset Pendapatan per Proker'!$N$5:$N$30)</f>
        <v>0</v>
      </c>
      <c r="L14" s="7">
        <f>SUMIF('Opset Pendapatan per Proker'!$C$5:$C$30,C14,'Opset Pendapatan per Proker'!$O$5:$O$30)</f>
        <v>0</v>
      </c>
      <c r="M14" s="7">
        <f t="shared" si="1"/>
        <v>5702.82</v>
      </c>
      <c r="N14" s="7">
        <f>SUMIF('Opset Pendapatan per Proker'!$C$5:$C$30,C14,'Opset Pendapatan per Proker'!$Q$5:$Q$30)</f>
        <v>900</v>
      </c>
      <c r="O14" s="8">
        <f t="shared" si="2"/>
        <v>6.3364666666666665</v>
      </c>
    </row>
    <row r="15" spans="2:15" x14ac:dyDescent="0.3">
      <c r="B15" s="5">
        <v>10</v>
      </c>
      <c r="C15" s="6" t="s">
        <v>17</v>
      </c>
      <c r="D15" s="7">
        <f>SUMIF('Opset Pendapatan per Proker'!$C$5:$C$30,C15,'Opset Pendapatan per Proker'!$G$5:$G$30)</f>
        <v>3356</v>
      </c>
      <c r="E15" s="7">
        <f>SUMIF('Opset Pendapatan per Proker'!$C$5:$C$30,C15,'Opset Pendapatan per Proker'!$H$5:$H$30)</f>
        <v>4523.1444039999997</v>
      </c>
      <c r="F15" s="8">
        <f t="shared" si="0"/>
        <v>0.7419617196019993</v>
      </c>
      <c r="G15" s="7">
        <f>SUMIF('Opset Pendapatan per Proker'!$C$5:$C$30,C15,'Opset Pendapatan per Proker'!$J$5:$J$30)</f>
        <v>0</v>
      </c>
      <c r="H15" s="7">
        <f>SUMIF('Opset Pendapatan per Proker'!$C$5:$C$30,C15,'Opset Pendapatan per Proker'!$K$5:$K$30)</f>
        <v>0</v>
      </c>
      <c r="I15" s="7">
        <f>SUMIF('Opset Pendapatan per Proker'!$C$5:$C$30,C15,'Opset Pendapatan per Proker'!$L$5:$L$30)</f>
        <v>0</v>
      </c>
      <c r="J15" s="7">
        <f>SUMIF('Opset Pendapatan per Proker'!$C$5:$C$30,C15,'Opset Pendapatan per Proker'!$M$5:$M$30)</f>
        <v>0</v>
      </c>
      <c r="K15" s="7">
        <f>SUMIF('Opset Pendapatan per Proker'!$C$5:$C$30,C15,'Opset Pendapatan per Proker'!$N$5:$N$30)</f>
        <v>0</v>
      </c>
      <c r="L15" s="7">
        <f>SUMIF('Opset Pendapatan per Proker'!$C$5:$C$30,C15,'Opset Pendapatan per Proker'!$O$5:$O$30)</f>
        <v>0</v>
      </c>
      <c r="M15" s="7">
        <f t="shared" si="1"/>
        <v>3356</v>
      </c>
      <c r="N15" s="7">
        <f>SUMIF('Opset Pendapatan per Proker'!$C$5:$C$30,C15,'Opset Pendapatan per Proker'!$Q$5:$Q$30)</f>
        <v>4523.1440000000002</v>
      </c>
      <c r="O15" s="8">
        <f t="shared" si="2"/>
        <v>0.74196178587283534</v>
      </c>
    </row>
    <row r="16" spans="2:15" x14ac:dyDescent="0.3">
      <c r="B16" s="5">
        <v>11</v>
      </c>
      <c r="C16" s="6" t="s">
        <v>39</v>
      </c>
      <c r="D16" s="7">
        <f>SUMIF('Opset Pendapatan per Proker'!$C$5:$C$30,C16,'Opset Pendapatan per Proker'!$G$5:$G$30)</f>
        <v>0</v>
      </c>
      <c r="E16" s="7">
        <f>SUMIF('Opset Pendapatan per Proker'!$C$5:$C$30,C16,'Opset Pendapatan per Proker'!$H$5:$H$30)</f>
        <v>0</v>
      </c>
      <c r="F16" s="8">
        <f t="shared" si="0"/>
        <v>0</v>
      </c>
      <c r="G16" s="7">
        <f>SUMIF('Opset Pendapatan per Proker'!$C$5:$C$30,C16,'Opset Pendapatan per Proker'!$J$5:$J$30)</f>
        <v>0</v>
      </c>
      <c r="H16" s="7">
        <f>SUMIF('Opset Pendapatan per Proker'!$C$5:$C$30,C16,'Opset Pendapatan per Proker'!$K$5:$K$30)</f>
        <v>0</v>
      </c>
      <c r="I16" s="7">
        <f>SUMIF('Opset Pendapatan per Proker'!$C$5:$C$30,C16,'Opset Pendapatan per Proker'!$L$5:$L$30)</f>
        <v>0</v>
      </c>
      <c r="J16" s="7">
        <f>SUMIF('Opset Pendapatan per Proker'!$C$5:$C$30,C16,'Opset Pendapatan per Proker'!$M$5:$M$30)</f>
        <v>0</v>
      </c>
      <c r="K16" s="7">
        <f>SUMIF('Opset Pendapatan per Proker'!$C$5:$C$30,C16,'Opset Pendapatan per Proker'!$N$5:$N$30)</f>
        <v>0</v>
      </c>
      <c r="L16" s="7">
        <f>SUMIF('Opset Pendapatan per Proker'!$C$5:$C$30,C16,'Opset Pendapatan per Proker'!$O$5:$O$30)</f>
        <v>0</v>
      </c>
      <c r="M16" s="7">
        <f t="shared" si="1"/>
        <v>0</v>
      </c>
      <c r="N16" s="7">
        <f>SUMIF('Opset Pendapatan per Proker'!$C$5:$C$30,C16,'Opset Pendapatan per Proker'!$Q$5:$Q$30)</f>
        <v>275</v>
      </c>
      <c r="O16" s="8">
        <f t="shared" si="2"/>
        <v>0</v>
      </c>
    </row>
    <row r="17" spans="2:15" ht="15" customHeight="1" x14ac:dyDescent="0.3">
      <c r="B17" s="37" t="s">
        <v>79</v>
      </c>
      <c r="C17" s="33"/>
      <c r="D17" s="10">
        <f>SUM(D6:D16)</f>
        <v>9860.98</v>
      </c>
      <c r="E17" s="10">
        <f>SUM(E6:E16)</f>
        <v>5414.994404</v>
      </c>
      <c r="F17" s="11">
        <f t="shared" si="0"/>
        <v>1.8210508200554734</v>
      </c>
      <c r="G17" s="10">
        <f t="shared" ref="G17:N17" si="3">SUM(G6:G16)</f>
        <v>161.75</v>
      </c>
      <c r="H17" s="10">
        <f t="shared" si="3"/>
        <v>536.76</v>
      </c>
      <c r="I17" s="10">
        <f t="shared" si="3"/>
        <v>7.5</v>
      </c>
      <c r="J17" s="10">
        <f t="shared" si="3"/>
        <v>0</v>
      </c>
      <c r="K17" s="10">
        <f t="shared" si="3"/>
        <v>0</v>
      </c>
      <c r="L17" s="10">
        <f t="shared" si="3"/>
        <v>0</v>
      </c>
      <c r="M17" s="10">
        <f t="shared" si="3"/>
        <v>10566.99</v>
      </c>
      <c r="N17" s="10">
        <f t="shared" si="3"/>
        <v>8846.1350000000002</v>
      </c>
      <c r="O17" s="11">
        <f t="shared" si="2"/>
        <v>1.1945318492200265</v>
      </c>
    </row>
  </sheetData>
  <mergeCells count="7">
    <mergeCell ref="B17:C17"/>
    <mergeCell ref="N3:O3"/>
    <mergeCell ref="C3:C4"/>
    <mergeCell ref="B3:B4"/>
    <mergeCell ref="M3:M4"/>
    <mergeCell ref="G3:L3"/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tabSelected="1" topLeftCell="B3" zoomScale="52" zoomScaleNormal="85" workbookViewId="0">
      <selection activeCell="D27" sqref="D27"/>
    </sheetView>
  </sheetViews>
  <sheetFormatPr defaultRowHeight="14.4" customHeight="1" x14ac:dyDescent="0.3"/>
  <cols>
    <col min="2" max="2" width="6.44140625" customWidth="1"/>
    <col min="3" max="3" width="20.5546875" customWidth="1"/>
    <col min="4" max="4" width="48.109375" customWidth="1"/>
    <col min="5" max="5" width="27.77734375" hidden="1" customWidth="1"/>
    <col min="6" max="6" width="31.44140625" customWidth="1"/>
    <col min="7" max="7" width="8.5546875" customWidth="1"/>
    <col min="8" max="9" width="7.21875" customWidth="1"/>
    <col min="10" max="10" width="5.33203125" customWidth="1"/>
    <col min="11" max="11" width="5.6640625" customWidth="1"/>
    <col min="12" max="12" width="8.5546875" customWidth="1"/>
    <col min="13" max="13" width="5.33203125" hidden="1" customWidth="1"/>
    <col min="14" max="14" width="5" hidden="1" customWidth="1"/>
    <col min="15" max="15" width="7.21875" customWidth="1"/>
    <col min="16" max="16" width="11.33203125" customWidth="1"/>
    <col min="17" max="17" width="13.88671875" customWidth="1"/>
    <col min="18" max="18" width="12.6640625" customWidth="1"/>
  </cols>
  <sheetData>
    <row r="1" spans="1:18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 t="s">
        <v>0</v>
      </c>
    </row>
    <row r="3" spans="1:18" x14ac:dyDescent="0.3">
      <c r="A3" s="12"/>
      <c r="B3" s="31" t="s">
        <v>1</v>
      </c>
      <c r="C3" s="34" t="s">
        <v>2</v>
      </c>
      <c r="D3" s="31" t="s">
        <v>3</v>
      </c>
      <c r="E3" s="31" t="s">
        <v>4</v>
      </c>
      <c r="F3" s="31" t="s">
        <v>5</v>
      </c>
      <c r="G3" s="34" t="s">
        <v>6</v>
      </c>
      <c r="H3" s="35"/>
      <c r="I3" s="35"/>
      <c r="J3" s="34" t="s">
        <v>7</v>
      </c>
      <c r="K3" s="35"/>
      <c r="L3" s="35"/>
      <c r="M3" s="35"/>
      <c r="N3" s="35"/>
      <c r="O3" s="35"/>
      <c r="P3" s="29" t="s">
        <v>8</v>
      </c>
      <c r="Q3" s="31" t="s">
        <v>9</v>
      </c>
      <c r="R3" s="29" t="s">
        <v>10</v>
      </c>
    </row>
    <row r="4" spans="1:18" x14ac:dyDescent="0.3">
      <c r="A4" s="12"/>
      <c r="B4" s="30"/>
      <c r="C4" s="36"/>
      <c r="D4" s="30"/>
      <c r="E4" s="30"/>
      <c r="F4" s="30"/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/>
      <c r="N4" s="14"/>
      <c r="O4" s="14"/>
      <c r="P4" s="30"/>
      <c r="Q4" s="30"/>
      <c r="R4" s="30"/>
    </row>
    <row r="5" spans="1:18" x14ac:dyDescent="0.3">
      <c r="A5" s="12"/>
      <c r="B5" s="15">
        <v>1</v>
      </c>
      <c r="C5" s="15" t="s">
        <v>17</v>
      </c>
      <c r="D5" s="16" t="s">
        <v>18</v>
      </c>
      <c r="E5" s="16" t="s">
        <v>19</v>
      </c>
      <c r="F5" s="16" t="s">
        <v>20</v>
      </c>
      <c r="G5" s="17">
        <v>3356</v>
      </c>
      <c r="H5" s="17">
        <f>0+4523.144404</f>
        <v>4523.1444039999997</v>
      </c>
      <c r="I5" s="18">
        <f t="shared" ref="I5:I31" si="0">IFERROR(G5/H5,0)</f>
        <v>0.7419617196019993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28">
        <f t="shared" ref="P5:P30" si="1">G5+SUM(J5:O5)</f>
        <v>3356</v>
      </c>
      <c r="Q5" s="17">
        <v>4523.1440000000002</v>
      </c>
      <c r="R5" s="18">
        <f t="shared" ref="R5:R31" si="2">IFERROR(P5/Q5,0)</f>
        <v>0.74196178587283534</v>
      </c>
    </row>
    <row r="6" spans="1:18" x14ac:dyDescent="0.3">
      <c r="A6" s="12"/>
      <c r="B6" s="15">
        <v>2</v>
      </c>
      <c r="C6" s="15" t="s">
        <v>21</v>
      </c>
      <c r="D6" s="16" t="s">
        <v>22</v>
      </c>
      <c r="E6" s="16" t="s">
        <v>23</v>
      </c>
      <c r="F6" s="16" t="s">
        <v>24</v>
      </c>
      <c r="G6" s="17">
        <f>3553.82+2149</f>
        <v>5702.82</v>
      </c>
      <c r="H6" s="17">
        <v>0</v>
      </c>
      <c r="I6" s="18">
        <f t="shared" si="0"/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28">
        <f t="shared" si="1"/>
        <v>5702.82</v>
      </c>
      <c r="Q6" s="17">
        <v>600</v>
      </c>
      <c r="R6" s="18">
        <f t="shared" si="2"/>
        <v>9.5046999999999997</v>
      </c>
    </row>
    <row r="7" spans="1:18" x14ac:dyDescent="0.3">
      <c r="A7" s="12"/>
      <c r="B7" s="15">
        <v>3</v>
      </c>
      <c r="C7" s="15" t="s">
        <v>25</v>
      </c>
      <c r="D7" s="16" t="s">
        <v>26</v>
      </c>
      <c r="E7" s="16" t="s">
        <v>27</v>
      </c>
      <c r="F7" s="16" t="s">
        <v>28</v>
      </c>
      <c r="G7" s="17">
        <v>0</v>
      </c>
      <c r="H7" s="17">
        <v>0</v>
      </c>
      <c r="I7" s="18">
        <f t="shared" si="0"/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20">
        <f t="shared" si="1"/>
        <v>0</v>
      </c>
      <c r="Q7" s="17">
        <v>406</v>
      </c>
      <c r="R7" s="18">
        <f t="shared" si="2"/>
        <v>0</v>
      </c>
    </row>
    <row r="8" spans="1:18" x14ac:dyDescent="0.3">
      <c r="A8" s="12"/>
      <c r="B8" s="15">
        <v>4</v>
      </c>
      <c r="C8" s="15" t="s">
        <v>25</v>
      </c>
      <c r="D8" s="16" t="s">
        <v>29</v>
      </c>
      <c r="E8" s="16" t="s">
        <v>27</v>
      </c>
      <c r="F8" s="16" t="s">
        <v>30</v>
      </c>
      <c r="G8" s="17">
        <v>0</v>
      </c>
      <c r="H8" s="17">
        <f>0+32</f>
        <v>32</v>
      </c>
      <c r="I8" s="18">
        <f t="shared" si="0"/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20">
        <f t="shared" si="1"/>
        <v>0</v>
      </c>
      <c r="Q8" s="17"/>
      <c r="R8" s="18">
        <f t="shared" si="2"/>
        <v>0</v>
      </c>
    </row>
    <row r="9" spans="1:18" x14ac:dyDescent="0.3">
      <c r="A9" s="12"/>
      <c r="B9" s="15">
        <v>5</v>
      </c>
      <c r="C9" s="15" t="s">
        <v>31</v>
      </c>
      <c r="D9" s="16" t="s">
        <v>32</v>
      </c>
      <c r="E9" s="16" t="s">
        <v>33</v>
      </c>
      <c r="F9" s="16" t="s">
        <v>34</v>
      </c>
      <c r="G9" s="17">
        <v>0</v>
      </c>
      <c r="H9" s="17">
        <f>0+585</f>
        <v>585</v>
      </c>
      <c r="I9" s="18">
        <f t="shared" si="0"/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20">
        <f t="shared" si="1"/>
        <v>0</v>
      </c>
      <c r="Q9" s="17">
        <v>585</v>
      </c>
      <c r="R9" s="18">
        <f t="shared" si="2"/>
        <v>0</v>
      </c>
    </row>
    <row r="10" spans="1:18" x14ac:dyDescent="0.3">
      <c r="A10" s="12"/>
      <c r="B10" s="15">
        <v>6</v>
      </c>
      <c r="C10" s="15" t="s">
        <v>21</v>
      </c>
      <c r="D10" s="16" t="s">
        <v>35</v>
      </c>
      <c r="E10" s="16" t="s">
        <v>36</v>
      </c>
      <c r="F10" s="16" t="s">
        <v>37</v>
      </c>
      <c r="G10" s="17">
        <v>0</v>
      </c>
      <c r="H10" s="17">
        <v>0</v>
      </c>
      <c r="I10" s="18">
        <f t="shared" si="0"/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20">
        <f t="shared" si="1"/>
        <v>0</v>
      </c>
      <c r="Q10" s="17">
        <v>300</v>
      </c>
      <c r="R10" s="18">
        <f t="shared" si="2"/>
        <v>0</v>
      </c>
    </row>
    <row r="11" spans="1:18" x14ac:dyDescent="0.3">
      <c r="A11" s="12"/>
      <c r="B11" s="15">
        <v>7</v>
      </c>
      <c r="C11" s="15" t="s">
        <v>31</v>
      </c>
      <c r="D11" s="16" t="s">
        <v>38</v>
      </c>
      <c r="E11" s="16" t="s">
        <v>33</v>
      </c>
      <c r="F11" s="16" t="s">
        <v>37</v>
      </c>
      <c r="G11" s="17">
        <v>0</v>
      </c>
      <c r="H11" s="17">
        <v>0</v>
      </c>
      <c r="I11" s="18">
        <f t="shared" si="0"/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20">
        <f t="shared" si="1"/>
        <v>0</v>
      </c>
      <c r="Q11" s="17">
        <v>275</v>
      </c>
      <c r="R11" s="18">
        <f t="shared" si="2"/>
        <v>0</v>
      </c>
    </row>
    <row r="12" spans="1:18" x14ac:dyDescent="0.3">
      <c r="A12" s="12"/>
      <c r="B12" s="15">
        <v>8</v>
      </c>
      <c r="C12" s="15" t="s">
        <v>39</v>
      </c>
      <c r="D12" s="16" t="s">
        <v>40</v>
      </c>
      <c r="E12" s="16" t="s">
        <v>41</v>
      </c>
      <c r="F12" s="16" t="s">
        <v>37</v>
      </c>
      <c r="G12" s="17">
        <v>0</v>
      </c>
      <c r="H12" s="17">
        <v>0</v>
      </c>
      <c r="I12" s="18">
        <f t="shared" si="0"/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20">
        <f t="shared" si="1"/>
        <v>0</v>
      </c>
      <c r="Q12" s="17">
        <v>275</v>
      </c>
      <c r="R12" s="18">
        <f t="shared" si="2"/>
        <v>0</v>
      </c>
    </row>
    <row r="13" spans="1:18" x14ac:dyDescent="0.3">
      <c r="A13" s="12"/>
      <c r="B13" s="15">
        <v>9</v>
      </c>
      <c r="C13" s="15" t="s">
        <v>31</v>
      </c>
      <c r="D13" s="16" t="s">
        <v>42</v>
      </c>
      <c r="E13" s="16" t="s">
        <v>33</v>
      </c>
      <c r="F13" s="16" t="s">
        <v>43</v>
      </c>
      <c r="G13" s="17">
        <f>0+147</f>
        <v>147</v>
      </c>
      <c r="H13" s="17">
        <f>147</f>
        <v>147</v>
      </c>
      <c r="I13" s="18">
        <f t="shared" si="0"/>
        <v>1</v>
      </c>
      <c r="J13" s="17">
        <v>147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20">
        <f t="shared" si="1"/>
        <v>294</v>
      </c>
      <c r="Q13" s="17">
        <v>294</v>
      </c>
      <c r="R13" s="18">
        <f t="shared" si="2"/>
        <v>1</v>
      </c>
    </row>
    <row r="14" spans="1:18" x14ac:dyDescent="0.3">
      <c r="A14" s="12"/>
      <c r="B14" s="15">
        <v>10</v>
      </c>
      <c r="C14" s="15" t="s">
        <v>31</v>
      </c>
      <c r="D14" s="16" t="s">
        <v>44</v>
      </c>
      <c r="E14" s="16" t="s">
        <v>33</v>
      </c>
      <c r="F14" s="16" t="s">
        <v>45</v>
      </c>
      <c r="G14" s="17">
        <f>200+174.9</f>
        <v>374.9</v>
      </c>
      <c r="H14" s="17">
        <v>0</v>
      </c>
      <c r="I14" s="18">
        <f t="shared" si="0"/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20">
        <f t="shared" si="1"/>
        <v>374.9</v>
      </c>
      <c r="Q14" s="17">
        <v>395.8</v>
      </c>
      <c r="R14" s="18">
        <f t="shared" si="2"/>
        <v>0.94719555330975236</v>
      </c>
    </row>
    <row r="15" spans="1:18" x14ac:dyDescent="0.3">
      <c r="A15" s="12"/>
      <c r="B15" s="15">
        <v>11</v>
      </c>
      <c r="C15" s="15" t="s">
        <v>31</v>
      </c>
      <c r="D15" s="16" t="s">
        <v>46</v>
      </c>
      <c r="E15" s="16" t="s">
        <v>47</v>
      </c>
      <c r="F15" s="16" t="s">
        <v>37</v>
      </c>
      <c r="G15" s="17">
        <v>0</v>
      </c>
      <c r="H15" s="17">
        <v>0</v>
      </c>
      <c r="I15" s="18">
        <f t="shared" si="0"/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20">
        <f t="shared" si="1"/>
        <v>0</v>
      </c>
      <c r="Q15" s="17">
        <v>108</v>
      </c>
      <c r="R15" s="18">
        <f t="shared" si="2"/>
        <v>0</v>
      </c>
    </row>
    <row r="16" spans="1:18" x14ac:dyDescent="0.3">
      <c r="A16" s="12"/>
      <c r="B16" s="15">
        <v>12</v>
      </c>
      <c r="C16" s="15" t="s">
        <v>31</v>
      </c>
      <c r="D16" s="16" t="s">
        <v>48</v>
      </c>
      <c r="E16" s="16" t="s">
        <v>33</v>
      </c>
      <c r="F16" s="16" t="s">
        <v>37</v>
      </c>
      <c r="G16" s="17">
        <v>0</v>
      </c>
      <c r="H16" s="17">
        <v>0</v>
      </c>
      <c r="I16" s="18">
        <f t="shared" si="0"/>
        <v>0</v>
      </c>
      <c r="J16" s="17">
        <v>0</v>
      </c>
      <c r="K16" s="17">
        <v>370</v>
      </c>
      <c r="L16" s="17">
        <v>0</v>
      </c>
      <c r="M16" s="17">
        <v>0</v>
      </c>
      <c r="N16" s="17">
        <v>0</v>
      </c>
      <c r="O16" s="17">
        <v>0</v>
      </c>
      <c r="P16" s="20">
        <f t="shared" si="1"/>
        <v>370</v>
      </c>
      <c r="Q16" s="17">
        <v>370</v>
      </c>
      <c r="R16" s="18">
        <f t="shared" si="2"/>
        <v>1</v>
      </c>
    </row>
    <row r="17" spans="1:18" x14ac:dyDescent="0.3">
      <c r="A17" s="12"/>
      <c r="B17" s="15">
        <v>13</v>
      </c>
      <c r="C17" s="15" t="s">
        <v>31</v>
      </c>
      <c r="D17" s="16" t="s">
        <v>49</v>
      </c>
      <c r="E17" s="16" t="s">
        <v>50</v>
      </c>
      <c r="F17" s="16" t="s">
        <v>37</v>
      </c>
      <c r="G17" s="17">
        <v>0</v>
      </c>
      <c r="H17" s="17">
        <v>0</v>
      </c>
      <c r="I17" s="18">
        <f t="shared" si="0"/>
        <v>0</v>
      </c>
      <c r="J17" s="17">
        <v>0</v>
      </c>
      <c r="K17" s="17">
        <v>16</v>
      </c>
      <c r="L17" s="17">
        <v>0</v>
      </c>
      <c r="M17" s="17">
        <v>0</v>
      </c>
      <c r="N17" s="17">
        <v>0</v>
      </c>
      <c r="O17" s="17">
        <v>0</v>
      </c>
      <c r="P17" s="20">
        <f t="shared" si="1"/>
        <v>16</v>
      </c>
      <c r="Q17" s="17">
        <v>100</v>
      </c>
      <c r="R17" s="18">
        <f t="shared" si="2"/>
        <v>0.16</v>
      </c>
    </row>
    <row r="18" spans="1:18" x14ac:dyDescent="0.3">
      <c r="A18" s="12"/>
      <c r="B18" s="15">
        <v>14</v>
      </c>
      <c r="C18" s="15" t="s">
        <v>31</v>
      </c>
      <c r="D18" s="16" t="s">
        <v>51</v>
      </c>
      <c r="E18" s="16" t="s">
        <v>50</v>
      </c>
      <c r="F18" s="16" t="s">
        <v>37</v>
      </c>
      <c r="G18" s="17">
        <v>0</v>
      </c>
      <c r="H18" s="17">
        <v>0</v>
      </c>
      <c r="I18" s="18">
        <f t="shared" si="0"/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20">
        <f t="shared" si="1"/>
        <v>0</v>
      </c>
      <c r="Q18" s="17">
        <v>50</v>
      </c>
      <c r="R18" s="18">
        <f t="shared" si="2"/>
        <v>0</v>
      </c>
    </row>
    <row r="19" spans="1:18" x14ac:dyDescent="0.3">
      <c r="A19" s="12"/>
      <c r="B19" s="15">
        <v>15</v>
      </c>
      <c r="C19" s="15" t="s">
        <v>31</v>
      </c>
      <c r="D19" s="16" t="s">
        <v>52</v>
      </c>
      <c r="E19" s="16" t="s">
        <v>33</v>
      </c>
      <c r="F19" s="16" t="s">
        <v>53</v>
      </c>
      <c r="G19" s="17">
        <f>48.75+8.75+8.75+7.5+8.75</f>
        <v>82.5</v>
      </c>
      <c r="H19" s="17">
        <v>67.5</v>
      </c>
      <c r="I19" s="18">
        <f t="shared" si="0"/>
        <v>1.2222222222222223</v>
      </c>
      <c r="J19" s="17">
        <v>7.5</v>
      </c>
      <c r="K19" s="17">
        <v>7.5</v>
      </c>
      <c r="L19" s="17">
        <v>7.5</v>
      </c>
      <c r="M19" s="17">
        <v>0</v>
      </c>
      <c r="N19" s="17">
        <v>0</v>
      </c>
      <c r="O19" s="17">
        <v>0</v>
      </c>
      <c r="P19" s="20">
        <f t="shared" si="1"/>
        <v>105</v>
      </c>
      <c r="Q19" s="17">
        <v>90</v>
      </c>
      <c r="R19" s="18">
        <f t="shared" si="2"/>
        <v>1.1666666666666667</v>
      </c>
    </row>
    <row r="20" spans="1:18" x14ac:dyDescent="0.3">
      <c r="A20" s="12"/>
      <c r="B20" s="15">
        <v>16</v>
      </c>
      <c r="C20" s="15" t="s">
        <v>31</v>
      </c>
      <c r="D20" s="16" t="s">
        <v>54</v>
      </c>
      <c r="E20" s="16" t="s">
        <v>55</v>
      </c>
      <c r="F20" s="16" t="s">
        <v>37</v>
      </c>
      <c r="G20" s="17">
        <v>0</v>
      </c>
      <c r="H20" s="17">
        <v>0</v>
      </c>
      <c r="I20" s="18">
        <f t="shared" si="0"/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20">
        <f t="shared" si="1"/>
        <v>0</v>
      </c>
      <c r="Q20" s="17">
        <v>75</v>
      </c>
      <c r="R20" s="18">
        <f t="shared" si="2"/>
        <v>0</v>
      </c>
    </row>
    <row r="21" spans="1:18" x14ac:dyDescent="0.3">
      <c r="A21" s="12"/>
      <c r="B21" s="15">
        <v>17</v>
      </c>
      <c r="C21" s="15" t="s">
        <v>31</v>
      </c>
      <c r="D21" s="16" t="s">
        <v>56</v>
      </c>
      <c r="E21" s="16" t="s">
        <v>57</v>
      </c>
      <c r="F21" s="16" t="s">
        <v>58</v>
      </c>
      <c r="G21" s="17">
        <v>25.5</v>
      </c>
      <c r="H21" s="17">
        <v>0</v>
      </c>
      <c r="I21" s="18">
        <f t="shared" si="0"/>
        <v>0</v>
      </c>
      <c r="J21" s="17">
        <v>0</v>
      </c>
      <c r="K21" s="17">
        <v>25.5</v>
      </c>
      <c r="L21" s="17">
        <v>0</v>
      </c>
      <c r="M21" s="17">
        <v>0</v>
      </c>
      <c r="N21" s="17">
        <v>0</v>
      </c>
      <c r="O21" s="17">
        <v>0</v>
      </c>
      <c r="P21" s="20">
        <f t="shared" si="1"/>
        <v>51</v>
      </c>
      <c r="Q21" s="17">
        <v>25.5</v>
      </c>
      <c r="R21" s="18">
        <f t="shared" si="2"/>
        <v>2</v>
      </c>
    </row>
    <row r="22" spans="1:18" x14ac:dyDescent="0.3">
      <c r="A22" s="12"/>
      <c r="B22" s="15">
        <v>18</v>
      </c>
      <c r="C22" s="15" t="s">
        <v>31</v>
      </c>
      <c r="D22" s="16" t="s">
        <v>59</v>
      </c>
      <c r="E22" s="16" t="s">
        <v>57</v>
      </c>
      <c r="F22" s="16" t="s">
        <v>60</v>
      </c>
      <c r="G22" s="17">
        <v>7.25</v>
      </c>
      <c r="H22" s="17">
        <f>7.25</f>
        <v>7.25</v>
      </c>
      <c r="I22" s="18">
        <f t="shared" si="0"/>
        <v>1</v>
      </c>
      <c r="J22" s="17">
        <v>7.25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20">
        <f t="shared" si="1"/>
        <v>14.5</v>
      </c>
      <c r="Q22" s="17">
        <v>14.5</v>
      </c>
      <c r="R22" s="18">
        <f t="shared" si="2"/>
        <v>1</v>
      </c>
    </row>
    <row r="23" spans="1:18" x14ac:dyDescent="0.3">
      <c r="A23" s="12"/>
      <c r="B23" s="15">
        <v>19</v>
      </c>
      <c r="C23" s="15" t="s">
        <v>31</v>
      </c>
      <c r="D23" s="16" t="s">
        <v>61</v>
      </c>
      <c r="E23" s="16" t="s">
        <v>57</v>
      </c>
      <c r="F23" s="16" t="s">
        <v>62</v>
      </c>
      <c r="G23" s="17">
        <v>2.5499999999999998</v>
      </c>
      <c r="H23" s="17">
        <v>2.1</v>
      </c>
      <c r="I23" s="18">
        <f t="shared" si="0"/>
        <v>1.2142857142857142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20">
        <f t="shared" si="1"/>
        <v>2.5499999999999998</v>
      </c>
      <c r="Q23" s="17">
        <v>2.1</v>
      </c>
      <c r="R23" s="18">
        <f t="shared" si="2"/>
        <v>1.2142857142857142</v>
      </c>
    </row>
    <row r="24" spans="1:18" x14ac:dyDescent="0.3">
      <c r="A24" s="12"/>
      <c r="B24" s="15">
        <v>20</v>
      </c>
      <c r="C24" s="15" t="s">
        <v>31</v>
      </c>
      <c r="D24" s="16" t="s">
        <v>63</v>
      </c>
      <c r="E24" s="16" t="s">
        <v>33</v>
      </c>
      <c r="F24" s="16" t="s">
        <v>64</v>
      </c>
      <c r="G24" s="17">
        <v>75</v>
      </c>
      <c r="H24" s="17">
        <v>0</v>
      </c>
      <c r="I24" s="18">
        <f t="shared" si="0"/>
        <v>0</v>
      </c>
      <c r="J24" s="17">
        <v>0</v>
      </c>
      <c r="K24" s="17">
        <v>100</v>
      </c>
      <c r="L24" s="17">
        <v>0</v>
      </c>
      <c r="M24" s="17">
        <v>0</v>
      </c>
      <c r="N24" s="17">
        <v>0</v>
      </c>
      <c r="O24" s="17">
        <v>0</v>
      </c>
      <c r="P24" s="20">
        <f t="shared" si="1"/>
        <v>175</v>
      </c>
      <c r="Q24" s="17">
        <v>47</v>
      </c>
      <c r="R24" s="18">
        <f t="shared" si="2"/>
        <v>3.7234042553191489</v>
      </c>
    </row>
    <row r="25" spans="1:18" x14ac:dyDescent="0.3">
      <c r="A25" s="12"/>
      <c r="B25" s="15">
        <v>21</v>
      </c>
      <c r="C25" s="15" t="s">
        <v>31</v>
      </c>
      <c r="D25" s="16" t="s">
        <v>65</v>
      </c>
      <c r="E25" s="16" t="s">
        <v>33</v>
      </c>
      <c r="F25" s="16" t="s">
        <v>66</v>
      </c>
      <c r="G25" s="17">
        <f>0+26.46</f>
        <v>26.46</v>
      </c>
      <c r="H25" s="17">
        <f>0+24</f>
        <v>24</v>
      </c>
      <c r="I25" s="18">
        <f t="shared" si="0"/>
        <v>1.1025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20">
        <f t="shared" si="1"/>
        <v>26.46</v>
      </c>
      <c r="Q25" s="17">
        <v>24</v>
      </c>
      <c r="R25" s="18">
        <f t="shared" si="2"/>
        <v>1.1025</v>
      </c>
    </row>
    <row r="26" spans="1:18" x14ac:dyDescent="0.3">
      <c r="A26" s="12"/>
      <c r="B26" s="15">
        <v>22</v>
      </c>
      <c r="C26" s="15" t="s">
        <v>31</v>
      </c>
      <c r="D26" s="16" t="s">
        <v>67</v>
      </c>
      <c r="E26" s="16" t="s">
        <v>33</v>
      </c>
      <c r="F26" s="16" t="s">
        <v>68</v>
      </c>
      <c r="G26" s="17">
        <v>27</v>
      </c>
      <c r="H26" s="17">
        <v>27</v>
      </c>
      <c r="I26" s="18">
        <f t="shared" si="0"/>
        <v>1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20">
        <f t="shared" si="1"/>
        <v>27</v>
      </c>
      <c r="Q26" s="17">
        <v>27</v>
      </c>
      <c r="R26" s="18">
        <f t="shared" si="2"/>
        <v>1</v>
      </c>
    </row>
    <row r="27" spans="1:18" x14ac:dyDescent="0.3">
      <c r="A27" s="12"/>
      <c r="B27" s="21">
        <v>24</v>
      </c>
      <c r="C27" s="15" t="s">
        <v>31</v>
      </c>
      <c r="D27" s="22" t="s">
        <v>69</v>
      </c>
      <c r="E27" s="22" t="s">
        <v>57</v>
      </c>
      <c r="F27" s="22" t="s">
        <v>70</v>
      </c>
      <c r="G27" s="23">
        <v>4</v>
      </c>
      <c r="H27" s="23"/>
      <c r="I27" s="24">
        <f t="shared" si="0"/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5">
        <f t="shared" si="1"/>
        <v>4</v>
      </c>
      <c r="Q27" s="23">
        <v>0</v>
      </c>
      <c r="R27" s="24">
        <f t="shared" si="2"/>
        <v>0</v>
      </c>
    </row>
    <row r="28" spans="1:18" x14ac:dyDescent="0.3">
      <c r="A28" s="12"/>
      <c r="B28" s="21">
        <v>25</v>
      </c>
      <c r="C28" s="15" t="s">
        <v>31</v>
      </c>
      <c r="D28" s="22" t="s">
        <v>71</v>
      </c>
      <c r="E28" s="22" t="s">
        <v>57</v>
      </c>
      <c r="F28" s="22" t="s">
        <v>72</v>
      </c>
      <c r="G28" s="23">
        <v>0</v>
      </c>
      <c r="H28" s="23"/>
      <c r="I28" s="24">
        <f t="shared" si="0"/>
        <v>0</v>
      </c>
      <c r="J28" s="23">
        <v>0</v>
      </c>
      <c r="K28" s="23">
        <v>17.760000000000002</v>
      </c>
      <c r="L28" s="23">
        <v>0</v>
      </c>
      <c r="M28" s="23">
        <v>0</v>
      </c>
      <c r="N28" s="23">
        <v>0</v>
      </c>
      <c r="O28" s="23">
        <v>0</v>
      </c>
      <c r="P28" s="25">
        <f t="shared" si="1"/>
        <v>17.760000000000002</v>
      </c>
      <c r="Q28" s="23">
        <v>0</v>
      </c>
      <c r="R28" s="24">
        <f t="shared" si="2"/>
        <v>0</v>
      </c>
    </row>
    <row r="29" spans="1:18" x14ac:dyDescent="0.3">
      <c r="A29" s="12"/>
      <c r="B29" s="21">
        <v>23</v>
      </c>
      <c r="C29" s="15" t="s">
        <v>73</v>
      </c>
      <c r="D29" s="22" t="s">
        <v>74</v>
      </c>
      <c r="E29" s="22" t="s">
        <v>75</v>
      </c>
      <c r="F29" s="22" t="s">
        <v>76</v>
      </c>
      <c r="G29" s="23">
        <v>0</v>
      </c>
      <c r="H29" s="23">
        <v>0</v>
      </c>
      <c r="I29" s="24">
        <f t="shared" si="0"/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5">
        <f t="shared" si="1"/>
        <v>0</v>
      </c>
      <c r="Q29" s="23">
        <v>259.09100000000001</v>
      </c>
      <c r="R29" s="24">
        <f t="shared" si="2"/>
        <v>0</v>
      </c>
    </row>
    <row r="30" spans="1:18" ht="15" customHeight="1" x14ac:dyDescent="0.3">
      <c r="A30" s="12"/>
      <c r="B30" s="21">
        <v>26</v>
      </c>
      <c r="C30" s="15" t="s">
        <v>31</v>
      </c>
      <c r="D30" s="22" t="s">
        <v>77</v>
      </c>
      <c r="E30" s="22" t="s">
        <v>37</v>
      </c>
      <c r="F30" s="22" t="s">
        <v>78</v>
      </c>
      <c r="G30" s="23">
        <f>0+30</f>
        <v>30</v>
      </c>
      <c r="H30" s="23">
        <v>0</v>
      </c>
      <c r="I30" s="24">
        <f t="shared" si="0"/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5">
        <f t="shared" si="1"/>
        <v>30</v>
      </c>
      <c r="Q30" s="23">
        <v>0</v>
      </c>
      <c r="R30" s="24">
        <f t="shared" si="2"/>
        <v>0</v>
      </c>
    </row>
    <row r="31" spans="1:18" ht="15" customHeight="1" x14ac:dyDescent="0.3">
      <c r="A31" s="12"/>
      <c r="B31" s="32" t="s">
        <v>79</v>
      </c>
      <c r="C31" s="33"/>
      <c r="D31" s="33"/>
      <c r="E31" s="33"/>
      <c r="F31" s="33"/>
      <c r="G31" s="26">
        <f>SUM(G5:G30)</f>
        <v>9860.9799999999977</v>
      </c>
      <c r="H31" s="26">
        <f>SUM(H5:H30)</f>
        <v>5414.994404</v>
      </c>
      <c r="I31" s="27">
        <f t="shared" si="0"/>
        <v>1.8210508200554731</v>
      </c>
      <c r="J31" s="26">
        <f t="shared" ref="J31:Q31" si="3">SUM(J5:J30)</f>
        <v>161.75</v>
      </c>
      <c r="K31" s="26">
        <f t="shared" si="3"/>
        <v>536.76</v>
      </c>
      <c r="L31" s="26">
        <f t="shared" si="3"/>
        <v>7.5</v>
      </c>
      <c r="M31" s="26">
        <f t="shared" si="3"/>
        <v>0</v>
      </c>
      <c r="N31" s="26">
        <f t="shared" si="3"/>
        <v>0</v>
      </c>
      <c r="O31" s="26">
        <f t="shared" si="3"/>
        <v>0</v>
      </c>
      <c r="P31" s="26">
        <f t="shared" si="3"/>
        <v>10566.989999999998</v>
      </c>
      <c r="Q31" s="26">
        <f t="shared" si="3"/>
        <v>8846.1350000000002</v>
      </c>
      <c r="R31" s="27">
        <f t="shared" si="2"/>
        <v>1.1945318492200263</v>
      </c>
    </row>
  </sheetData>
  <mergeCells count="11">
    <mergeCell ref="R3:R4"/>
    <mergeCell ref="D3:D4"/>
    <mergeCell ref="F3:F4"/>
    <mergeCell ref="B31:F31"/>
    <mergeCell ref="G3:I3"/>
    <mergeCell ref="J3:O3"/>
    <mergeCell ref="C3:C4"/>
    <mergeCell ref="B3:B4"/>
    <mergeCell ref="P3:P4"/>
    <mergeCell ref="E3:E4"/>
    <mergeCell ref="Q3:Q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7"/>
  <sheetViews>
    <sheetView showGridLines="0" zoomScaleNormal="100" workbookViewId="0">
      <selection activeCell="B2" sqref="B2"/>
    </sheetView>
  </sheetViews>
  <sheetFormatPr defaultRowHeight="14.4" customHeight="1" x14ac:dyDescent="0.3"/>
  <cols>
    <col min="1" max="1" width="2.33203125" customWidth="1"/>
    <col min="2" max="2" width="4.33203125" customWidth="1"/>
    <col min="3" max="3" width="20" customWidth="1"/>
    <col min="4" max="5" width="14.33203125" customWidth="1"/>
    <col min="6" max="6" width="11.21875" customWidth="1"/>
    <col min="7" max="7" width="103.44140625" customWidth="1"/>
  </cols>
  <sheetData>
    <row r="2" spans="2:7" ht="15" customHeight="1" x14ac:dyDescent="0.3">
      <c r="G2" s="1" t="s">
        <v>0</v>
      </c>
    </row>
    <row r="3" spans="2:7" x14ac:dyDescent="0.3">
      <c r="B3" s="38" t="s">
        <v>1</v>
      </c>
      <c r="C3" s="38" t="s">
        <v>101</v>
      </c>
      <c r="D3" s="38" t="s">
        <v>102</v>
      </c>
      <c r="E3" s="39"/>
      <c r="F3" s="39"/>
      <c r="G3" s="38" t="s">
        <v>103</v>
      </c>
    </row>
    <row r="4" spans="2:7" x14ac:dyDescent="0.3">
      <c r="B4" s="30"/>
      <c r="C4" s="30"/>
      <c r="D4" s="2" t="s">
        <v>104</v>
      </c>
      <c r="E4" s="2" t="s">
        <v>105</v>
      </c>
      <c r="F4" s="2" t="s">
        <v>106</v>
      </c>
      <c r="G4" s="30"/>
    </row>
    <row r="5" spans="2:7" x14ac:dyDescent="0.3">
      <c r="B5" s="3" t="s">
        <v>82</v>
      </c>
      <c r="C5" s="3" t="s">
        <v>83</v>
      </c>
      <c r="D5" s="3" t="s">
        <v>84</v>
      </c>
      <c r="E5" s="3" t="s">
        <v>85</v>
      </c>
      <c r="F5" s="3" t="s">
        <v>107</v>
      </c>
      <c r="G5" s="3" t="s">
        <v>87</v>
      </c>
    </row>
    <row r="6" spans="2:7" x14ac:dyDescent="0.3">
      <c r="B6" s="5">
        <v>1</v>
      </c>
      <c r="C6" s="6"/>
      <c r="D6" s="7">
        <v>1000</v>
      </c>
      <c r="E6" s="7">
        <v>1000</v>
      </c>
      <c r="F6" s="7">
        <f t="shared" ref="F6:F17" si="0">D6-E6</f>
        <v>0</v>
      </c>
      <c r="G6" s="7"/>
    </row>
    <row r="7" spans="2:7" x14ac:dyDescent="0.3">
      <c r="B7" s="5">
        <v>2</v>
      </c>
      <c r="C7" s="6"/>
      <c r="D7" s="7">
        <v>1000</v>
      </c>
      <c r="E7" s="7">
        <v>1000</v>
      </c>
      <c r="F7" s="7">
        <f t="shared" si="0"/>
        <v>0</v>
      </c>
      <c r="G7" s="7"/>
    </row>
    <row r="8" spans="2:7" x14ac:dyDescent="0.3">
      <c r="B8" s="5">
        <v>3</v>
      </c>
      <c r="C8" s="6"/>
      <c r="D8" s="7">
        <v>1000</v>
      </c>
      <c r="E8" s="7">
        <v>1000</v>
      </c>
      <c r="F8" s="7">
        <f t="shared" si="0"/>
        <v>0</v>
      </c>
      <c r="G8" s="7"/>
    </row>
    <row r="9" spans="2:7" x14ac:dyDescent="0.3">
      <c r="B9" s="5">
        <v>4</v>
      </c>
      <c r="C9" s="6"/>
      <c r="D9" s="7">
        <v>1000</v>
      </c>
      <c r="E9" s="7">
        <v>1000</v>
      </c>
      <c r="F9" s="7">
        <f t="shared" si="0"/>
        <v>0</v>
      </c>
      <c r="G9" s="7"/>
    </row>
    <row r="10" spans="2:7" x14ac:dyDescent="0.3">
      <c r="B10" s="5">
        <v>5</v>
      </c>
      <c r="C10" s="6"/>
      <c r="D10" s="7">
        <v>1000</v>
      </c>
      <c r="E10" s="7">
        <v>1000</v>
      </c>
      <c r="F10" s="7">
        <f t="shared" si="0"/>
        <v>0</v>
      </c>
      <c r="G10" s="7"/>
    </row>
    <row r="11" spans="2:7" x14ac:dyDescent="0.3">
      <c r="B11" s="5">
        <v>6</v>
      </c>
      <c r="C11" s="6"/>
      <c r="D11" s="7">
        <v>1000</v>
      </c>
      <c r="E11" s="7">
        <v>1000</v>
      </c>
      <c r="F11" s="7">
        <f t="shared" si="0"/>
        <v>0</v>
      </c>
      <c r="G11" s="7"/>
    </row>
    <row r="12" spans="2:7" x14ac:dyDescent="0.3">
      <c r="B12" s="5">
        <v>7</v>
      </c>
      <c r="C12" s="6"/>
      <c r="D12" s="7">
        <v>1000</v>
      </c>
      <c r="E12" s="7">
        <v>1000</v>
      </c>
      <c r="F12" s="7">
        <f t="shared" si="0"/>
        <v>0</v>
      </c>
      <c r="G12" s="7"/>
    </row>
    <row r="13" spans="2:7" x14ac:dyDescent="0.3">
      <c r="B13" s="5">
        <v>8</v>
      </c>
      <c r="C13" s="6"/>
      <c r="D13" s="7">
        <v>1000</v>
      </c>
      <c r="E13" s="7">
        <v>1000</v>
      </c>
      <c r="F13" s="7">
        <f t="shared" si="0"/>
        <v>0</v>
      </c>
      <c r="G13" s="7"/>
    </row>
    <row r="14" spans="2:7" x14ac:dyDescent="0.3">
      <c r="B14" s="5">
        <v>9</v>
      </c>
      <c r="C14" s="6"/>
      <c r="D14" s="7">
        <v>1000</v>
      </c>
      <c r="E14" s="7">
        <v>1000</v>
      </c>
      <c r="F14" s="7">
        <f t="shared" si="0"/>
        <v>0</v>
      </c>
      <c r="G14" s="7"/>
    </row>
    <row r="15" spans="2:7" x14ac:dyDescent="0.3">
      <c r="B15" s="5">
        <v>10</v>
      </c>
      <c r="C15" s="6"/>
      <c r="D15" s="7">
        <v>1000</v>
      </c>
      <c r="E15" s="7">
        <v>1000</v>
      </c>
      <c r="F15" s="7">
        <f t="shared" si="0"/>
        <v>0</v>
      </c>
      <c r="G15" s="7"/>
    </row>
    <row r="16" spans="2:7" x14ac:dyDescent="0.3">
      <c r="B16" s="5">
        <v>11</v>
      </c>
      <c r="C16" s="6"/>
      <c r="D16" s="7">
        <v>1000</v>
      </c>
      <c r="E16" s="7">
        <v>1000</v>
      </c>
      <c r="F16" s="7">
        <f t="shared" si="0"/>
        <v>0</v>
      </c>
      <c r="G16" s="7"/>
    </row>
    <row r="17" spans="2:7" ht="15" customHeight="1" x14ac:dyDescent="0.3">
      <c r="B17" s="37" t="s">
        <v>79</v>
      </c>
      <c r="C17" s="33"/>
      <c r="D17" s="10">
        <f>SUM(D6:D16)</f>
        <v>11000</v>
      </c>
      <c r="E17" s="10">
        <f>SUM(E6:E16)</f>
        <v>11000</v>
      </c>
      <c r="F17" s="10">
        <f t="shared" si="0"/>
        <v>0</v>
      </c>
      <c r="G17" s="10"/>
    </row>
  </sheetData>
  <mergeCells count="5">
    <mergeCell ref="C3:C4"/>
    <mergeCell ref="B3:B4"/>
    <mergeCell ref="G3:G4"/>
    <mergeCell ref="D3:F3"/>
    <mergeCell ref="B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7"/>
  <sheetViews>
    <sheetView showGridLines="0" zoomScaleNormal="100" workbookViewId="0">
      <selection activeCell="D27" sqref="D27"/>
    </sheetView>
  </sheetViews>
  <sheetFormatPr defaultRowHeight="14.4" customHeight="1" x14ac:dyDescent="0.3"/>
  <cols>
    <col min="1" max="1" width="2.33203125" customWidth="1"/>
    <col min="2" max="2" width="4.33203125" customWidth="1"/>
    <col min="3" max="3" width="20" customWidth="1"/>
    <col min="4" max="4" width="14.21875" customWidth="1"/>
    <col min="5" max="11" width="11.21875" customWidth="1"/>
    <col min="12" max="12" width="13.109375" customWidth="1"/>
    <col min="13" max="14" width="11.21875" customWidth="1"/>
  </cols>
  <sheetData>
    <row r="2" spans="2:14" ht="15" customHeight="1" x14ac:dyDescent="0.3">
      <c r="N2" s="1" t="s">
        <v>0</v>
      </c>
    </row>
    <row r="3" spans="2:14" x14ac:dyDescent="0.3">
      <c r="B3" s="38" t="s">
        <v>1</v>
      </c>
      <c r="C3" s="38" t="s">
        <v>108</v>
      </c>
      <c r="D3" s="38" t="s">
        <v>109</v>
      </c>
      <c r="E3" s="38" t="s">
        <v>110</v>
      </c>
      <c r="F3" s="39"/>
      <c r="G3" s="39"/>
      <c r="H3" s="38" t="s">
        <v>7</v>
      </c>
      <c r="I3" s="39"/>
      <c r="J3" s="39"/>
      <c r="K3" s="39"/>
      <c r="L3" s="40" t="s">
        <v>111</v>
      </c>
      <c r="M3" s="38" t="s">
        <v>9</v>
      </c>
      <c r="N3" s="39"/>
    </row>
    <row r="4" spans="2:14" x14ac:dyDescent="0.3">
      <c r="B4" s="30"/>
      <c r="C4" s="30"/>
      <c r="D4" s="30"/>
      <c r="E4" s="2" t="s">
        <v>11</v>
      </c>
      <c r="F4" s="2" t="s">
        <v>12</v>
      </c>
      <c r="G4" s="2" t="s">
        <v>13</v>
      </c>
      <c r="H4" s="2" t="s">
        <v>112</v>
      </c>
      <c r="I4" s="2" t="s">
        <v>113</v>
      </c>
      <c r="J4" s="2" t="s">
        <v>114</v>
      </c>
      <c r="K4" s="2" t="s">
        <v>115</v>
      </c>
      <c r="L4" s="30"/>
      <c r="M4" s="2" t="s">
        <v>9</v>
      </c>
      <c r="N4" s="2" t="s">
        <v>81</v>
      </c>
    </row>
    <row r="5" spans="2:14" x14ac:dyDescent="0.3">
      <c r="B5" s="3" t="s">
        <v>82</v>
      </c>
      <c r="C5" s="3" t="s">
        <v>83</v>
      </c>
      <c r="D5" s="3" t="s">
        <v>84</v>
      </c>
      <c r="E5" s="3" t="s">
        <v>85</v>
      </c>
      <c r="F5" s="3" t="s">
        <v>116</v>
      </c>
      <c r="G5" s="3" t="s">
        <v>117</v>
      </c>
      <c r="H5" s="3" t="s">
        <v>88</v>
      </c>
      <c r="I5" s="3" t="s">
        <v>89</v>
      </c>
      <c r="J5" s="3" t="s">
        <v>118</v>
      </c>
      <c r="K5" s="3" t="s">
        <v>90</v>
      </c>
      <c r="L5" s="3" t="s">
        <v>119</v>
      </c>
      <c r="M5" s="3" t="s">
        <v>120</v>
      </c>
      <c r="N5" s="3" t="s">
        <v>121</v>
      </c>
    </row>
    <row r="6" spans="2:14" x14ac:dyDescent="0.3">
      <c r="B6" s="5">
        <v>1</v>
      </c>
      <c r="C6" s="6"/>
      <c r="D6" s="6"/>
      <c r="E6" s="7">
        <v>1000</v>
      </c>
      <c r="F6" s="7">
        <v>1000</v>
      </c>
      <c r="G6" s="8">
        <f t="shared" ref="G6:G17" si="0">E6/F6</f>
        <v>1</v>
      </c>
      <c r="H6" s="7">
        <v>1000</v>
      </c>
      <c r="I6" s="7">
        <v>1000</v>
      </c>
      <c r="J6" s="7">
        <v>1000</v>
      </c>
      <c r="K6" s="7">
        <f t="shared" ref="K6:K16" si="1">SUM(H6:J6)</f>
        <v>3000</v>
      </c>
      <c r="L6" s="7">
        <f t="shared" ref="L6:L16" si="2">K6+E6</f>
        <v>4000</v>
      </c>
      <c r="M6" s="7">
        <v>1000</v>
      </c>
      <c r="N6" s="8">
        <f t="shared" ref="N6:N17" si="3">L6/M6</f>
        <v>4</v>
      </c>
    </row>
    <row r="7" spans="2:14" x14ac:dyDescent="0.3">
      <c r="B7" s="5">
        <v>2</v>
      </c>
      <c r="C7" s="6"/>
      <c r="D7" s="6"/>
      <c r="E7" s="7">
        <v>1000</v>
      </c>
      <c r="F7" s="7">
        <v>1000</v>
      </c>
      <c r="G7" s="8">
        <f t="shared" si="0"/>
        <v>1</v>
      </c>
      <c r="H7" s="7">
        <v>1000</v>
      </c>
      <c r="I7" s="7">
        <v>1000</v>
      </c>
      <c r="J7" s="7">
        <v>1000</v>
      </c>
      <c r="K7" s="7">
        <f t="shared" si="1"/>
        <v>3000</v>
      </c>
      <c r="L7" s="7">
        <f t="shared" si="2"/>
        <v>4000</v>
      </c>
      <c r="M7" s="7">
        <v>1000</v>
      </c>
      <c r="N7" s="8">
        <f t="shared" si="3"/>
        <v>4</v>
      </c>
    </row>
    <row r="8" spans="2:14" x14ac:dyDescent="0.3">
      <c r="B8" s="5">
        <v>3</v>
      </c>
      <c r="C8" s="6"/>
      <c r="D8" s="6"/>
      <c r="E8" s="7">
        <v>1000</v>
      </c>
      <c r="F8" s="7">
        <v>1000</v>
      </c>
      <c r="G8" s="8">
        <f t="shared" si="0"/>
        <v>1</v>
      </c>
      <c r="H8" s="7">
        <v>1000</v>
      </c>
      <c r="I8" s="7">
        <v>1000</v>
      </c>
      <c r="J8" s="7">
        <v>1000</v>
      </c>
      <c r="K8" s="7">
        <f t="shared" si="1"/>
        <v>3000</v>
      </c>
      <c r="L8" s="7">
        <f t="shared" si="2"/>
        <v>4000</v>
      </c>
      <c r="M8" s="7">
        <v>1000</v>
      </c>
      <c r="N8" s="8">
        <f t="shared" si="3"/>
        <v>4</v>
      </c>
    </row>
    <row r="9" spans="2:14" x14ac:dyDescent="0.3">
      <c r="B9" s="5">
        <v>4</v>
      </c>
      <c r="C9" s="6"/>
      <c r="D9" s="6"/>
      <c r="E9" s="7">
        <v>1000</v>
      </c>
      <c r="F9" s="7">
        <v>1000</v>
      </c>
      <c r="G9" s="8">
        <f t="shared" si="0"/>
        <v>1</v>
      </c>
      <c r="H9" s="7">
        <v>1000</v>
      </c>
      <c r="I9" s="7">
        <v>1000</v>
      </c>
      <c r="J9" s="7">
        <v>1000</v>
      </c>
      <c r="K9" s="7">
        <f t="shared" si="1"/>
        <v>3000</v>
      </c>
      <c r="L9" s="7">
        <f t="shared" si="2"/>
        <v>4000</v>
      </c>
      <c r="M9" s="7">
        <v>1000</v>
      </c>
      <c r="N9" s="8">
        <f t="shared" si="3"/>
        <v>4</v>
      </c>
    </row>
    <row r="10" spans="2:14" x14ac:dyDescent="0.3">
      <c r="B10" s="5">
        <v>5</v>
      </c>
      <c r="C10" s="6"/>
      <c r="D10" s="6"/>
      <c r="E10" s="7">
        <v>1000</v>
      </c>
      <c r="F10" s="7">
        <v>1000</v>
      </c>
      <c r="G10" s="8">
        <f t="shared" si="0"/>
        <v>1</v>
      </c>
      <c r="H10" s="7">
        <v>1000</v>
      </c>
      <c r="I10" s="7">
        <v>1000</v>
      </c>
      <c r="J10" s="7">
        <v>1000</v>
      </c>
      <c r="K10" s="7">
        <f t="shared" si="1"/>
        <v>3000</v>
      </c>
      <c r="L10" s="7">
        <f t="shared" si="2"/>
        <v>4000</v>
      </c>
      <c r="M10" s="7">
        <v>1000</v>
      </c>
      <c r="N10" s="8">
        <f t="shared" si="3"/>
        <v>4</v>
      </c>
    </row>
    <row r="11" spans="2:14" x14ac:dyDescent="0.3">
      <c r="B11" s="5">
        <v>6</v>
      </c>
      <c r="C11" s="6"/>
      <c r="D11" s="6"/>
      <c r="E11" s="7">
        <v>1000</v>
      </c>
      <c r="F11" s="7">
        <v>1000</v>
      </c>
      <c r="G11" s="8">
        <f t="shared" si="0"/>
        <v>1</v>
      </c>
      <c r="H11" s="7">
        <v>1000</v>
      </c>
      <c r="I11" s="7">
        <v>1000</v>
      </c>
      <c r="J11" s="7">
        <v>1000</v>
      </c>
      <c r="K11" s="7">
        <f t="shared" si="1"/>
        <v>3000</v>
      </c>
      <c r="L11" s="7">
        <f t="shared" si="2"/>
        <v>4000</v>
      </c>
      <c r="M11" s="7">
        <v>1000</v>
      </c>
      <c r="N11" s="8">
        <f t="shared" si="3"/>
        <v>4</v>
      </c>
    </row>
    <row r="12" spans="2:14" x14ac:dyDescent="0.3">
      <c r="B12" s="5">
        <v>7</v>
      </c>
      <c r="C12" s="6"/>
      <c r="D12" s="6"/>
      <c r="E12" s="7">
        <v>1000</v>
      </c>
      <c r="F12" s="7">
        <v>1000</v>
      </c>
      <c r="G12" s="8">
        <f t="shared" si="0"/>
        <v>1</v>
      </c>
      <c r="H12" s="7">
        <v>1000</v>
      </c>
      <c r="I12" s="7">
        <v>1000</v>
      </c>
      <c r="J12" s="7">
        <v>1000</v>
      </c>
      <c r="K12" s="7">
        <f t="shared" si="1"/>
        <v>3000</v>
      </c>
      <c r="L12" s="7">
        <f t="shared" si="2"/>
        <v>4000</v>
      </c>
      <c r="M12" s="7">
        <v>1000</v>
      </c>
      <c r="N12" s="8">
        <f t="shared" si="3"/>
        <v>4</v>
      </c>
    </row>
    <row r="13" spans="2:14" x14ac:dyDescent="0.3">
      <c r="B13" s="5">
        <v>8</v>
      </c>
      <c r="C13" s="6"/>
      <c r="D13" s="6"/>
      <c r="E13" s="7">
        <v>1000</v>
      </c>
      <c r="F13" s="7">
        <v>1000</v>
      </c>
      <c r="G13" s="8">
        <f t="shared" si="0"/>
        <v>1</v>
      </c>
      <c r="H13" s="7">
        <v>1000</v>
      </c>
      <c r="I13" s="7">
        <v>1000</v>
      </c>
      <c r="J13" s="7">
        <v>1000</v>
      </c>
      <c r="K13" s="7">
        <f t="shared" si="1"/>
        <v>3000</v>
      </c>
      <c r="L13" s="7">
        <f t="shared" si="2"/>
        <v>4000</v>
      </c>
      <c r="M13" s="7">
        <v>1000</v>
      </c>
      <c r="N13" s="8">
        <f t="shared" si="3"/>
        <v>4</v>
      </c>
    </row>
    <row r="14" spans="2:14" x14ac:dyDescent="0.3">
      <c r="B14" s="5">
        <v>9</v>
      </c>
      <c r="C14" s="6"/>
      <c r="D14" s="6"/>
      <c r="E14" s="7">
        <v>1000</v>
      </c>
      <c r="F14" s="7">
        <v>1000</v>
      </c>
      <c r="G14" s="8">
        <f t="shared" si="0"/>
        <v>1</v>
      </c>
      <c r="H14" s="7">
        <v>1000</v>
      </c>
      <c r="I14" s="7">
        <v>1000</v>
      </c>
      <c r="J14" s="7">
        <v>1000</v>
      </c>
      <c r="K14" s="7">
        <f t="shared" si="1"/>
        <v>3000</v>
      </c>
      <c r="L14" s="7">
        <f t="shared" si="2"/>
        <v>4000</v>
      </c>
      <c r="M14" s="7">
        <v>1000</v>
      </c>
      <c r="N14" s="8">
        <f t="shared" si="3"/>
        <v>4</v>
      </c>
    </row>
    <row r="15" spans="2:14" x14ac:dyDescent="0.3">
      <c r="B15" s="5">
        <v>10</v>
      </c>
      <c r="C15" s="6"/>
      <c r="D15" s="6"/>
      <c r="E15" s="7">
        <v>1000</v>
      </c>
      <c r="F15" s="7">
        <v>1000</v>
      </c>
      <c r="G15" s="8">
        <f t="shared" si="0"/>
        <v>1</v>
      </c>
      <c r="H15" s="7">
        <v>1000</v>
      </c>
      <c r="I15" s="7">
        <v>1000</v>
      </c>
      <c r="J15" s="7">
        <v>1000</v>
      </c>
      <c r="K15" s="7">
        <f t="shared" si="1"/>
        <v>3000</v>
      </c>
      <c r="L15" s="7">
        <f t="shared" si="2"/>
        <v>4000</v>
      </c>
      <c r="M15" s="7">
        <v>1000</v>
      </c>
      <c r="N15" s="8">
        <f t="shared" si="3"/>
        <v>4</v>
      </c>
    </row>
    <row r="16" spans="2:14" x14ac:dyDescent="0.3">
      <c r="B16" s="5">
        <v>11</v>
      </c>
      <c r="C16" s="6"/>
      <c r="D16" s="6"/>
      <c r="E16" s="7">
        <v>1000</v>
      </c>
      <c r="F16" s="7">
        <v>1000</v>
      </c>
      <c r="G16" s="8">
        <f t="shared" si="0"/>
        <v>1</v>
      </c>
      <c r="H16" s="7">
        <v>1000</v>
      </c>
      <c r="I16" s="7">
        <v>1000</v>
      </c>
      <c r="J16" s="7">
        <v>1000</v>
      </c>
      <c r="K16" s="7">
        <f t="shared" si="1"/>
        <v>3000</v>
      </c>
      <c r="L16" s="7">
        <f t="shared" si="2"/>
        <v>4000</v>
      </c>
      <c r="M16" s="7">
        <v>1000</v>
      </c>
      <c r="N16" s="8">
        <f t="shared" si="3"/>
        <v>4</v>
      </c>
    </row>
    <row r="17" spans="2:14" ht="15" customHeight="1" x14ac:dyDescent="0.3">
      <c r="B17" s="37" t="s">
        <v>79</v>
      </c>
      <c r="C17" s="33"/>
      <c r="D17" s="9"/>
      <c r="E17" s="10">
        <f>SUM(E6:E16)</f>
        <v>11000</v>
      </c>
      <c r="F17" s="10">
        <f>SUM(F6:F16)</f>
        <v>11000</v>
      </c>
      <c r="G17" s="11">
        <f t="shared" si="0"/>
        <v>1</v>
      </c>
      <c r="H17" s="10">
        <f t="shared" ref="H17:M17" si="4">SUM(H6:H16)</f>
        <v>11000</v>
      </c>
      <c r="I17" s="10">
        <f t="shared" si="4"/>
        <v>11000</v>
      </c>
      <c r="J17" s="10">
        <f t="shared" si="4"/>
        <v>11000</v>
      </c>
      <c r="K17" s="10">
        <f t="shared" si="4"/>
        <v>33000</v>
      </c>
      <c r="L17" s="10">
        <f t="shared" si="4"/>
        <v>44000</v>
      </c>
      <c r="M17" s="10">
        <f t="shared" si="4"/>
        <v>11000</v>
      </c>
      <c r="N17" s="11">
        <f t="shared" si="3"/>
        <v>4</v>
      </c>
    </row>
  </sheetData>
  <mergeCells count="8">
    <mergeCell ref="M3:N3"/>
    <mergeCell ref="E3:G3"/>
    <mergeCell ref="B17:C17"/>
    <mergeCell ref="H3:K3"/>
    <mergeCell ref="L3:L4"/>
    <mergeCell ref="C3:C4"/>
    <mergeCell ref="B3:B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Opset Cash</vt:lpstr>
      <vt:lpstr>Opset Cash per Proker</vt:lpstr>
      <vt:lpstr>Opset Pendapatan</vt:lpstr>
      <vt:lpstr>Opset Pendapatan per Proker</vt:lpstr>
      <vt:lpstr>Piutang</vt:lpstr>
      <vt:lpstr>Divest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MAP N1R8</cp:lastModifiedBy>
  <dcterms:created xsi:type="dcterms:W3CDTF">2025-07-12T07:07:51Z</dcterms:created>
  <dcterms:modified xsi:type="dcterms:W3CDTF">2026-10-21T06:48:14Z</dcterms:modified>
</cp:coreProperties>
</file>